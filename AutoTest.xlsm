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"/>
    </mc:Choice>
  </mc:AlternateContent>
  <bookViews>
    <workbookView minimized="1" xWindow="0" yWindow="0" windowWidth="20850" windowHeight="7650" tabRatio="678"/>
  </bookViews>
  <sheets>
    <sheet name="KVM" sheetId="25" r:id="rId1"/>
    <sheet name="KVM設定説明" sheetId="26" r:id="rId2"/>
    <sheet name="main" sheetId="1" r:id="rId3"/>
    <sheet name="properties" sheetId="4" r:id="rId4"/>
    <sheet name="page1" sheetId="22" r:id="rId5"/>
    <sheet name="in-data1" sheetId="6" r:id="rId6"/>
    <sheet name="in-data2" sheetId="18" r:id="rId7"/>
    <sheet name="in-data3" sheetId="19" r:id="rId8"/>
    <sheet name="out-data1" sheetId="16" r:id="rId9"/>
    <sheet name="out-data2" sheetId="20" r:id="rId10"/>
    <sheet name="res-data" sheetId="17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26" l="1"/>
  <c r="D21" i="26"/>
  <c r="C21" i="26"/>
  <c r="E14" i="26"/>
  <c r="D14" i="26"/>
  <c r="C14" i="26"/>
  <c r="D18" i="25"/>
  <c r="C18" i="25"/>
  <c r="B18" i="25"/>
  <c r="K14" i="25"/>
  <c r="I14" i="25"/>
  <c r="G14" i="25"/>
  <c r="A1" i="20" l="1"/>
  <c r="A1" i="19"/>
  <c r="A1" i="18"/>
  <c r="A1" i="16"/>
  <c r="G4" i="17"/>
  <c r="G3" i="17"/>
  <c r="A1" i="17"/>
  <c r="A1" i="6"/>
</calcChain>
</file>

<file path=xl/comments1.xml><?xml version="1.0" encoding="utf-8"?>
<comments xmlns="http://schemas.openxmlformats.org/spreadsheetml/2006/main">
  <authors>
    <author>ODSC050A05</author>
  </authors>
  <commentList>
    <comment ref="A2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>##ROW_DATA_CONFIG標記 :</t>
        </r>
        <r>
          <rPr>
            <sz val="9"/>
            <color indexed="81"/>
            <rFont val="ＭＳ Ｐゴシック"/>
            <family val="3"/>
            <charset val="128"/>
          </rPr>
          <t>次行のA列はKEY, B列はVALUEと認識される.　C列以降は未定義、保留。</t>
        </r>
      </text>
    </comment>
    <comment ref="A12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##COL_DATA_CONFIG標記 </t>
        </r>
        <r>
          <rPr>
            <sz val="9"/>
            <color indexed="81"/>
            <rFont val="ＭＳ Ｐゴシック"/>
            <family val="3"/>
            <charset val="128"/>
          </rPr>
          <t>複数グループ標記が可能。グループ間任意数空行でも可能</t>
        </r>
      </text>
    </comment>
  </commentList>
</comments>
</file>

<file path=xl/comments2.xml><?xml version="1.0" encoding="utf-8"?>
<comments xmlns="http://schemas.openxmlformats.org/spreadsheetml/2006/main">
  <authors>
    <author>ODSC050A05</author>
    <author>王 小広</author>
  </authors>
  <commentList>
    <comment ref="A2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>##ROW_DATA_CONFIG標記 :</t>
        </r>
        <r>
          <rPr>
            <sz val="9"/>
            <color indexed="81"/>
            <rFont val="ＭＳ Ｐゴシック"/>
            <family val="3"/>
            <charset val="128"/>
          </rPr>
          <t>次行のA列はKEY, B列はVALUEと認識される.　C列以降は未定義、保留。</t>
        </r>
      </text>
    </comment>
    <comment ref="A7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>##COL_DATA_CONFIG標記</t>
        </r>
        <r>
          <rPr>
            <sz val="9"/>
            <color indexed="81"/>
            <rFont val="ＭＳ Ｐゴシック"/>
            <family val="3"/>
            <charset val="128"/>
          </rPr>
          <t xml:space="preserve">
次行はKEY、次次行はVALUEと認識される。
但し、[KEY]設定が連続で、中断する場合、
後ろの設定は無視される。
</t>
        </r>
        <r>
          <rPr>
            <sz val="9"/>
            <color indexed="10"/>
            <rFont val="ＭＳ Ｐゴシック"/>
            <family val="3"/>
            <charset val="128"/>
          </rPr>
          <t>例 [M1]は認識されません。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※必須</t>
        </r>
      </text>
    </comment>
    <comment ref="J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KEY値形式定義：
定数：\w+
変数：\[\w+\]</t>
        </r>
      </text>
    </comment>
    <comment ref="H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コメント：任意文字列</t>
        </r>
      </text>
    </comment>
    <comment ref="I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VALUE: 任意文字列</t>
        </r>
      </text>
    </comment>
    <comment ref="E15" authorId="0" shapeId="0">
      <text>
        <r>
          <rPr>
            <sz val="9"/>
            <color indexed="81"/>
            <rFont val="ＭＳ Ｐゴシック"/>
            <family val="3"/>
            <charset val="128"/>
          </rPr>
          <t>備考行はVALUEに参照用、認識対象外</t>
        </r>
      </text>
    </comment>
    <comment ref="A19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##COL_DATA_CONFIG標記 </t>
        </r>
        <r>
          <rPr>
            <sz val="9"/>
            <color indexed="81"/>
            <rFont val="ＭＳ Ｐゴシック"/>
            <family val="3"/>
            <charset val="128"/>
          </rPr>
          <t>複数グループ標記が可能。グループ間任意数空行でも可能</t>
        </r>
      </text>
    </comment>
  </commentList>
</comments>
</file>

<file path=xl/comments3.xml><?xml version="1.0" encoding="utf-8"?>
<comments xmlns="http://schemas.openxmlformats.org/spreadsheetml/2006/main">
  <authors>
    <author>王 小広</author>
  </authors>
  <commentList>
    <comment ref="K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Result比較対象：
左側：out-data列対応シートの想定結果
右側：res-dataシートに記載したSQL文より出力した
DBの実際結果</t>
        </r>
      </text>
    </comment>
  </commentList>
</comments>
</file>

<file path=xl/sharedStrings.xml><?xml version="1.0" encoding="utf-8"?>
<sst xmlns="http://schemas.openxmlformats.org/spreadsheetml/2006/main" count="610" uniqueCount="265">
  <si>
    <t>説明</t>
    <rPh sb="0" eb="2">
      <t>セツメイ</t>
    </rPh>
    <phoneticPr fontId="1"/>
  </si>
  <si>
    <t>DB導入</t>
    <rPh sb="2" eb="4">
      <t>ドウニュウ</t>
    </rPh>
    <phoneticPr fontId="1"/>
  </si>
  <si>
    <t>変数初期化</t>
    <rPh sb="0" eb="2">
      <t>ヘンスウ</t>
    </rPh>
    <rPh sb="2" eb="5">
      <t>ショキカ</t>
    </rPh>
    <phoneticPr fontId="1"/>
  </si>
  <si>
    <t>URL</t>
    <phoneticPr fontId="1"/>
  </si>
  <si>
    <t>PARAM1</t>
    <phoneticPr fontId="1"/>
  </si>
  <si>
    <t>PARAM2</t>
  </si>
  <si>
    <t>PARAM3</t>
  </si>
  <si>
    <t>PARAM4</t>
  </si>
  <si>
    <t>PARAM5</t>
  </si>
  <si>
    <t>PARAM6</t>
  </si>
  <si>
    <t>PARAM7</t>
  </si>
  <si>
    <t>PARAM8</t>
  </si>
  <si>
    <t>google.com</t>
    <phoneticPr fontId="1"/>
  </si>
  <si>
    <t>col1</t>
    <phoneticPr fontId="1"/>
  </si>
  <si>
    <t>col2</t>
  </si>
  <si>
    <t>col3</t>
  </si>
  <si>
    <t>col4</t>
  </si>
  <si>
    <t>col5</t>
  </si>
  <si>
    <t>col6</t>
  </si>
  <si>
    <t>col7</t>
  </si>
  <si>
    <t>col8</t>
  </si>
  <si>
    <t>col9</t>
  </si>
  <si>
    <t>SHOT1</t>
    <phoneticPr fontId="1"/>
  </si>
  <si>
    <t>SHOT2</t>
    <phoneticPr fontId="1"/>
  </si>
  <si>
    <t>properties</t>
    <phoneticPr fontId="1"/>
  </si>
  <si>
    <t>page</t>
    <phoneticPr fontId="1"/>
  </si>
  <si>
    <t>page2</t>
    <phoneticPr fontId="1"/>
  </si>
  <si>
    <t>ログイン操作</t>
    <rPh sb="4" eb="6">
      <t>ソウサ</t>
    </rPh>
    <phoneticPr fontId="1"/>
  </si>
  <si>
    <t>注文詳細</t>
    <rPh sb="0" eb="2">
      <t>チュウモン</t>
    </rPh>
    <rPh sb="2" eb="4">
      <t>ショウサイ</t>
    </rPh>
    <phoneticPr fontId="1"/>
  </si>
  <si>
    <t>A1</t>
    <phoneticPr fontId="1"/>
  </si>
  <si>
    <t>A2</t>
  </si>
  <si>
    <t>A3</t>
  </si>
  <si>
    <t>A4</t>
  </si>
  <si>
    <t>KVID</t>
    <phoneticPr fontId="1"/>
  </si>
  <si>
    <t>S1</t>
    <phoneticPr fontId="1"/>
  </si>
  <si>
    <t>KEY</t>
    <phoneticPr fontId="1"/>
  </si>
  <si>
    <t>VAL</t>
    <phoneticPr fontId="1"/>
  </si>
  <si>
    <t>properties</t>
    <phoneticPr fontId="1"/>
  </si>
  <si>
    <t>S2</t>
    <phoneticPr fontId="1"/>
  </si>
  <si>
    <t>本シートの記入規約：</t>
    <rPh sb="0" eb="1">
      <t>ホン</t>
    </rPh>
    <rPh sb="5" eb="7">
      <t>キニュウ</t>
    </rPh>
    <rPh sb="7" eb="9">
      <t>キヤク</t>
    </rPh>
    <phoneticPr fontId="1"/>
  </si>
  <si>
    <t>１、A列：KVIDの開始行位置とKVID値をセットされます。開始位置AxにKVIDではない場合、無視されます。</t>
    <rPh sb="3" eb="4">
      <t>レツ</t>
    </rPh>
    <rPh sb="10" eb="12">
      <t>カイシ</t>
    </rPh>
    <rPh sb="12" eb="13">
      <t>ギョウ</t>
    </rPh>
    <rPh sb="13" eb="15">
      <t>イチ</t>
    </rPh>
    <rPh sb="20" eb="21">
      <t>アタイ</t>
    </rPh>
    <rPh sb="30" eb="32">
      <t>カイシ</t>
    </rPh>
    <rPh sb="32" eb="34">
      <t>イチ</t>
    </rPh>
    <rPh sb="45" eb="47">
      <t>バアイ</t>
    </rPh>
    <rPh sb="48" eb="50">
      <t>ムシ</t>
    </rPh>
    <phoneticPr fontId="1"/>
  </si>
  <si>
    <t>２、C列からKEY・VALUE値を定義します。KEYが空の場合、その右に値が有っても無視されます</t>
    <rPh sb="3" eb="4">
      <t>レツ</t>
    </rPh>
    <rPh sb="15" eb="16">
      <t>チ</t>
    </rPh>
    <rPh sb="17" eb="19">
      <t>テイギ</t>
    </rPh>
    <rPh sb="27" eb="28">
      <t>カラ</t>
    </rPh>
    <rPh sb="29" eb="31">
      <t>バアイ</t>
    </rPh>
    <rPh sb="34" eb="35">
      <t>ミギ</t>
    </rPh>
    <rPh sb="36" eb="37">
      <t>チ</t>
    </rPh>
    <rPh sb="38" eb="39">
      <t>ア</t>
    </rPh>
    <rPh sb="42" eb="44">
      <t>ムシ</t>
    </rPh>
    <phoneticPr fontId="1"/>
  </si>
  <si>
    <t>３．同じKVIDにKEYの唯一性を確保すべき、重複される場合、エラーが出ます。</t>
    <rPh sb="2" eb="3">
      <t>オナ</t>
    </rPh>
    <rPh sb="13" eb="15">
      <t>ユイイツ</t>
    </rPh>
    <rPh sb="15" eb="16">
      <t>セイ</t>
    </rPh>
    <rPh sb="17" eb="19">
      <t>カクホ</t>
    </rPh>
    <rPh sb="23" eb="25">
      <t>ジュウフク</t>
    </rPh>
    <rPh sb="28" eb="30">
      <t>バアイ</t>
    </rPh>
    <rPh sb="35" eb="36">
      <t>デ</t>
    </rPh>
    <phoneticPr fontId="1"/>
  </si>
  <si>
    <t>S3</t>
    <phoneticPr fontId="1"/>
  </si>
  <si>
    <t>A5</t>
  </si>
  <si>
    <t>S1</t>
    <phoneticPr fontId="1"/>
  </si>
  <si>
    <t>S2</t>
    <phoneticPr fontId="1"/>
  </si>
  <si>
    <t>SHOT3</t>
    <phoneticPr fontId="1"/>
  </si>
  <si>
    <t>S3</t>
    <phoneticPr fontId="1"/>
  </si>
  <si>
    <t>列名１</t>
    <rPh sb="0" eb="1">
      <t>レツ</t>
    </rPh>
    <rPh sb="1" eb="2">
      <t>メイ</t>
    </rPh>
    <phoneticPr fontId="1"/>
  </si>
  <si>
    <t>列名２</t>
    <rPh sb="0" eb="1">
      <t>レツ</t>
    </rPh>
    <rPh sb="1" eb="2">
      <t>メイ</t>
    </rPh>
    <phoneticPr fontId="1"/>
  </si>
  <si>
    <t>列名３</t>
    <rPh sb="0" eb="1">
      <t>レツ</t>
    </rPh>
    <rPh sb="1" eb="2">
      <t>メイ</t>
    </rPh>
    <phoneticPr fontId="1"/>
  </si>
  <si>
    <t>列名４</t>
    <rPh sb="0" eb="1">
      <t>レツ</t>
    </rPh>
    <rPh sb="1" eb="2">
      <t>メイ</t>
    </rPh>
    <phoneticPr fontId="1"/>
  </si>
  <si>
    <t>列名５</t>
    <rPh sb="0" eb="1">
      <t>レツ</t>
    </rPh>
    <rPh sb="1" eb="2">
      <t>メイ</t>
    </rPh>
    <phoneticPr fontId="1"/>
  </si>
  <si>
    <t>列名６</t>
    <rPh sb="0" eb="1">
      <t>レツ</t>
    </rPh>
    <rPh sb="1" eb="2">
      <t>メイ</t>
    </rPh>
    <phoneticPr fontId="1"/>
  </si>
  <si>
    <t>列名７</t>
    <rPh sb="0" eb="1">
      <t>レツ</t>
    </rPh>
    <rPh sb="1" eb="2">
      <t>メイ</t>
    </rPh>
    <phoneticPr fontId="1"/>
  </si>
  <si>
    <t>列名８</t>
    <rPh sb="0" eb="1">
      <t>レツ</t>
    </rPh>
    <rPh sb="1" eb="2">
      <t>メイ</t>
    </rPh>
    <phoneticPr fontId="1"/>
  </si>
  <si>
    <t>列名９</t>
    <rPh sb="0" eb="1">
      <t>レツ</t>
    </rPh>
    <rPh sb="1" eb="2">
      <t>メイ</t>
    </rPh>
    <phoneticPr fontId="1"/>
  </si>
  <si>
    <t>和名</t>
    <rPh sb="0" eb="2">
      <t>ワメイ</t>
    </rPh>
    <phoneticPr fontId="1"/>
  </si>
  <si>
    <t>英名</t>
    <rPh sb="0" eb="2">
      <t>エイメイ</t>
    </rPh>
    <phoneticPr fontId="1"/>
  </si>
  <si>
    <t>型名</t>
    <rPh sb="0" eb="2">
      <t>カタナ</t>
    </rPh>
    <phoneticPr fontId="1"/>
  </si>
  <si>
    <t>char</t>
    <phoneticPr fontId="1"/>
  </si>
  <si>
    <t>桁数</t>
    <rPh sb="0" eb="2">
      <t>ケタスウ</t>
    </rPh>
    <phoneticPr fontId="1"/>
  </si>
  <si>
    <t>tb0001</t>
    <phoneticPr fontId="1"/>
  </si>
  <si>
    <t>注文情報</t>
    <rPh sb="0" eb="2">
      <t>チュウモン</t>
    </rPh>
    <rPh sb="2" eb="4">
      <t>ジョウホウ</t>
    </rPh>
    <phoneticPr fontId="1"/>
  </si>
  <si>
    <t>FROM</t>
    <phoneticPr fontId="1"/>
  </si>
  <si>
    <t>WHERE</t>
    <phoneticPr fontId="1"/>
  </si>
  <si>
    <t>ORDERBY</t>
    <phoneticPr fontId="1"/>
  </si>
  <si>
    <t>SELECT</t>
    <phoneticPr fontId="1"/>
  </si>
  <si>
    <t>tb0001</t>
    <phoneticPr fontId="1"/>
  </si>
  <si>
    <t>rownum&lt;=100</t>
    <phoneticPr fontId="1"/>
  </si>
  <si>
    <t>1,2,3,4</t>
    <phoneticPr fontId="1"/>
  </si>
  <si>
    <t>select01</t>
    <phoneticPr fontId="1"/>
  </si>
  <si>
    <t>select02</t>
  </si>
  <si>
    <t>tb0002</t>
  </si>
  <si>
    <t>1,2,3 desc</t>
    <phoneticPr fontId="1"/>
  </si>
  <si>
    <t>SqlText</t>
    <phoneticPr fontId="1"/>
  </si>
  <si>
    <t>ID</t>
    <phoneticPr fontId="1"/>
  </si>
  <si>
    <t>*</t>
    <phoneticPr fontId="1"/>
  </si>
  <si>
    <t>コメント</t>
    <phoneticPr fontId="1"/>
  </si>
  <si>
    <t>tb0002</t>
    <phoneticPr fontId="1"/>
  </si>
  <si>
    <t>tb0003</t>
    <phoneticPr fontId="1"/>
  </si>
  <si>
    <t>在庫情報</t>
    <rPh sb="0" eb="2">
      <t>ザイコ</t>
    </rPh>
    <rPh sb="2" eb="4">
      <t>ジョウホウ</t>
    </rPh>
    <phoneticPr fontId="1"/>
  </si>
  <si>
    <t>in-data1</t>
    <phoneticPr fontId="1"/>
  </si>
  <si>
    <t>in-data2</t>
  </si>
  <si>
    <t>in-data3</t>
  </si>
  <si>
    <t>tb0002</t>
    <phoneticPr fontId="1"/>
  </si>
  <si>
    <t>*</t>
    <phoneticPr fontId="1"/>
  </si>
  <si>
    <t>out-data1</t>
    <phoneticPr fontId="1"/>
  </si>
  <si>
    <t>out-data2</t>
  </si>
  <si>
    <t>select01</t>
    <phoneticPr fontId="1"/>
  </si>
  <si>
    <t>select01</t>
    <phoneticPr fontId="1"/>
  </si>
  <si>
    <t>Compare</t>
    <phoneticPr fontId="1"/>
  </si>
  <si>
    <t>Result</t>
    <phoneticPr fontId="1"/>
  </si>
  <si>
    <t>in-data</t>
    <phoneticPr fontId="1"/>
  </si>
  <si>
    <t>out-data</t>
    <phoneticPr fontId="1"/>
  </si>
  <si>
    <t>SHOT</t>
    <phoneticPr fontId="1"/>
  </si>
  <si>
    <t>画面切替</t>
    <rPh sb="0" eb="2">
      <t>ガメン</t>
    </rPh>
    <rPh sb="2" eb="4">
      <t>キリカエ</t>
    </rPh>
    <phoneticPr fontId="1"/>
  </si>
  <si>
    <t>ActionNo</t>
    <phoneticPr fontId="1"/>
  </si>
  <si>
    <t>明細画面更新</t>
    <rPh sb="0" eb="2">
      <t>メイサイ</t>
    </rPh>
    <rPh sb="2" eb="4">
      <t>ガメン</t>
    </rPh>
    <rPh sb="4" eb="6">
      <t>コウシン</t>
    </rPh>
    <phoneticPr fontId="1"/>
  </si>
  <si>
    <t>一覧画面表示</t>
    <rPh sb="0" eb="2">
      <t>イチラン</t>
    </rPh>
    <rPh sb="2" eb="4">
      <t>ガメン</t>
    </rPh>
    <rPh sb="4" eb="6">
      <t>ヒョウジ</t>
    </rPh>
    <phoneticPr fontId="1"/>
  </si>
  <si>
    <t>ログアウト</t>
    <phoneticPr fontId="1"/>
  </si>
  <si>
    <t>page3</t>
    <phoneticPr fontId="1"/>
  </si>
  <si>
    <t>COMMENT</t>
    <phoneticPr fontId="1"/>
  </si>
  <si>
    <t>遷移先URL</t>
    <rPh sb="0" eb="2">
      <t>センイ</t>
    </rPh>
    <rPh sb="2" eb="3">
      <t>サキ</t>
    </rPh>
    <phoneticPr fontId="1"/>
  </si>
  <si>
    <t>パラメータ１</t>
    <phoneticPr fontId="1"/>
  </si>
  <si>
    <t>パラメータ２</t>
  </si>
  <si>
    <t>パラメータ３</t>
  </si>
  <si>
    <t>パラメータ４</t>
  </si>
  <si>
    <t>パラメータ５</t>
  </si>
  <si>
    <t>パラメータ６</t>
  </si>
  <si>
    <t>パラメータ７</t>
  </si>
  <si>
    <t>パラメータ８</t>
  </si>
  <si>
    <t xml:space="preserve">open </t>
  </si>
  <si>
    <t xml:space="preserve"> http://www.baidu.com/ </t>
  </si>
  <si>
    <t xml:space="preserve"> </t>
  </si>
  <si>
    <t xml:space="preserve">click </t>
  </si>
  <si>
    <t xml:space="preserve"> id=kw </t>
  </si>
  <si>
    <t xml:space="preserve">submit </t>
  </si>
  <si>
    <t xml:space="preserve"> id=form </t>
  </si>
  <si>
    <t xml:space="preserve">type </t>
  </si>
  <si>
    <r>
      <t xml:space="preserve"> link=Python 基</t>
    </r>
    <r>
      <rPr>
        <sz val="11"/>
        <color theme="1"/>
        <rFont val="游ゴシック"/>
        <family val="3"/>
        <charset val="134"/>
        <scheme val="minor"/>
      </rPr>
      <t>础</t>
    </r>
    <r>
      <rPr>
        <sz val="11"/>
        <color theme="1"/>
        <rFont val="游ゴシック"/>
        <family val="2"/>
        <charset val="128"/>
        <scheme val="minor"/>
      </rPr>
      <t xml:space="preserve">教程 </t>
    </r>
  </si>
  <si>
    <t xml:space="preserve">selectWindow </t>
  </si>
  <si>
    <t xml:space="preserve"> win_ser_1 </t>
  </si>
  <si>
    <r>
      <t xml:space="preserve"> link=运行</t>
    </r>
    <r>
      <rPr>
        <sz val="11"/>
        <color theme="1"/>
        <rFont val="游ゴシック"/>
        <family val="3"/>
        <charset val="134"/>
        <scheme val="minor"/>
      </rPr>
      <t>实</t>
    </r>
    <r>
      <rPr>
        <sz val="11"/>
        <color theme="1"/>
        <rFont val="游ゴシック"/>
        <family val="2"/>
        <charset val="128"/>
        <scheme val="minor"/>
      </rPr>
      <t xml:space="preserve">例 » </t>
    </r>
  </si>
  <si>
    <t xml:space="preserve"> win_ser_2 </t>
  </si>
  <si>
    <t xml:space="preserve"> //div[6] </t>
  </si>
  <si>
    <t xml:space="preserve"> //div[2]/div/div/textarea </t>
  </si>
  <si>
    <t xml:space="preserve"> asdfasdfasd</t>
  </si>
  <si>
    <t xml:space="preserve"> id=submitBTN </t>
  </si>
  <si>
    <t>java</t>
    <phoneticPr fontId="1"/>
  </si>
  <si>
    <t>aaaaa</t>
    <phoneticPr fontId="1"/>
  </si>
  <si>
    <t>value</t>
    <phoneticPr fontId="1"/>
  </si>
  <si>
    <t>Finder</t>
    <phoneticPr fontId="1"/>
  </si>
  <si>
    <t>S1</t>
    <phoneticPr fontId="1"/>
  </si>
  <si>
    <t>_autotest</t>
  </si>
  <si>
    <t>dataFolderName</t>
  </si>
  <si>
    <t>SYSTEM</t>
    <phoneticPr fontId="1"/>
  </si>
  <si>
    <t>⇒値CELLの説明⇒</t>
    <rPh sb="1" eb="2">
      <t>アタイ</t>
    </rPh>
    <rPh sb="7" eb="9">
      <t>セツメイ</t>
    </rPh>
    <phoneticPr fontId="13"/>
  </si>
  <si>
    <t>直接入力</t>
    <rPh sb="0" eb="2">
      <t>チョクセツ</t>
    </rPh>
    <rPh sb="2" eb="4">
      <t>ニュウリョク</t>
    </rPh>
    <phoneticPr fontId="13"/>
  </si>
  <si>
    <t>計算式</t>
    <rPh sb="0" eb="2">
      <t>ケイサン</t>
    </rPh>
    <rPh sb="2" eb="3">
      <t>シキ</t>
    </rPh>
    <phoneticPr fontId="13"/>
  </si>
  <si>
    <t>案件名</t>
    <rPh sb="0" eb="2">
      <t>アンケン</t>
    </rPh>
    <rPh sb="2" eb="3">
      <t>メイ</t>
    </rPh>
    <phoneticPr fontId="13"/>
  </si>
  <si>
    <t>ｻﾌﾞｼｽﾃﾑ</t>
  </si>
  <si>
    <t>代表ﾌﾟﾛｸﾞﾗﾑ</t>
    <rPh sb="0" eb="2">
      <t>ダイヒョウ</t>
    </rPh>
    <phoneticPr fontId="13"/>
  </si>
  <si>
    <t>代表ﾌﾟﾛｸﾞﾗﾑ名</t>
    <rPh sb="0" eb="2">
      <t>ダイヒョウ</t>
    </rPh>
    <rPh sb="9" eb="10">
      <t>メイ</t>
    </rPh>
    <phoneticPr fontId="13"/>
  </si>
  <si>
    <t>ブロック</t>
  </si>
  <si>
    <t>ジョブID</t>
  </si>
  <si>
    <t>ジョブ名</t>
    <rPh sb="3" eb="4">
      <t>メイ</t>
    </rPh>
    <phoneticPr fontId="13"/>
  </si>
  <si>
    <t>ｽﾃｯﾌﾟID</t>
  </si>
  <si>
    <t>ｽﾃｯﾌﾟ名</t>
    <rPh sb="5" eb="6">
      <t>メイ</t>
    </rPh>
    <phoneticPr fontId="13"/>
  </si>
  <si>
    <t>帳票ID</t>
    <rPh sb="0" eb="2">
      <t>チョウヒョウ</t>
    </rPh>
    <phoneticPr fontId="13"/>
  </si>
  <si>
    <t>[PRJNM]</t>
  </si>
  <si>
    <t>[SUBSYS]</t>
  </si>
  <si>
    <t>[PGMID]</t>
  </si>
  <si>
    <t>[PGMNM]</t>
  </si>
  <si>
    <t>[BLKID]</t>
  </si>
  <si>
    <t>[BLKNM]</t>
  </si>
  <si>
    <t>[JOBID]</t>
  </si>
  <si>
    <t>[JOBNM]</t>
  </si>
  <si>
    <t>[STEPID]</t>
  </si>
  <si>
    <t>[STEPNM]</t>
  </si>
  <si>
    <t>[PDFID]</t>
  </si>
  <si>
    <t>2016年10月メンテ対応（保証書発行｢お客様情報｣入力可能化）</t>
  </si>
  <si>
    <t>サービス</t>
  </si>
  <si>
    <t>FG05101S</t>
  </si>
  <si>
    <t>精算</t>
    <rPh sb="0" eb="2">
      <t>セイサン</t>
    </rPh>
    <phoneticPr fontId="13"/>
  </si>
  <si>
    <t>車検保証書発行</t>
  </si>
  <si>
    <t>車検保証書発行入力</t>
  </si>
  <si>
    <t>PT開始</t>
    <rPh sb="2" eb="4">
      <t>カイシ</t>
    </rPh>
    <phoneticPr fontId="13"/>
  </si>
  <si>
    <t>検証終了</t>
    <rPh sb="0" eb="2">
      <t>ケンショウ</t>
    </rPh>
    <rPh sb="2" eb="4">
      <t>シュウリョウ</t>
    </rPh>
    <phoneticPr fontId="13"/>
  </si>
  <si>
    <t>担当者</t>
    <phoneticPr fontId="13"/>
  </si>
  <si>
    <t>検証者</t>
    <rPh sb="0" eb="2">
      <t>ケンショウ</t>
    </rPh>
    <rPh sb="2" eb="3">
      <t>シャ</t>
    </rPh>
    <phoneticPr fontId="13"/>
  </si>
  <si>
    <t>Is画面</t>
    <rPh sb="2" eb="4">
      <t>ガメン</t>
    </rPh>
    <phoneticPr fontId="13"/>
  </si>
  <si>
    <t>Isバッチ</t>
  </si>
  <si>
    <t>Is帳票</t>
    <rPh sb="2" eb="4">
      <t>チョウヒョウ</t>
    </rPh>
    <phoneticPr fontId="13"/>
  </si>
  <si>
    <t>画面ID</t>
    <rPh sb="0" eb="2">
      <t>ガメン</t>
    </rPh>
    <phoneticPr fontId="13"/>
  </si>
  <si>
    <t>画面名</t>
    <rPh sb="0" eb="2">
      <t>ガメン</t>
    </rPh>
    <rPh sb="2" eb="3">
      <t>メイ</t>
    </rPh>
    <phoneticPr fontId="13"/>
  </si>
  <si>
    <t>[DT2]</t>
  </si>
  <si>
    <t>[DT3]</t>
  </si>
  <si>
    <t>[DT4]</t>
  </si>
  <si>
    <t>[USR]</t>
  </si>
  <si>
    <t>[REVR]</t>
  </si>
  <si>
    <t>[IsUI]</t>
  </si>
  <si>
    <t>[IsBT]</t>
  </si>
  <si>
    <t>[IsREP]</t>
  </si>
  <si>
    <t>[VERID]</t>
  </si>
  <si>
    <t>[PGID]</t>
  </si>
  <si>
    <t>[PGNM]</t>
  </si>
  <si>
    <t>呉（克英）</t>
  </si>
  <si>
    <t>王(小広)</t>
  </si>
  <si>
    <t>Y</t>
  </si>
  <si>
    <t>01.01.00.0001</t>
  </si>
  <si>
    <t>ﾌﾟﾛｸﾞﾗﾑ名1</t>
    <phoneticPr fontId="13"/>
  </si>
  <si>
    <t>ﾌﾟﾛｸﾞﾗﾑID2</t>
    <phoneticPr fontId="13"/>
  </si>
  <si>
    <t>ﾌﾟﾛｸﾞﾗﾑ名2</t>
    <phoneticPr fontId="13"/>
  </si>
  <si>
    <t>ﾌﾟﾛｸﾞﾗﾑID3</t>
    <phoneticPr fontId="13"/>
  </si>
  <si>
    <t>ﾌﾟﾛｸﾞﾗﾑ名3</t>
    <phoneticPr fontId="13"/>
  </si>
  <si>
    <t>ﾌﾟﾛｸﾞﾗﾑID4</t>
    <phoneticPr fontId="13"/>
  </si>
  <si>
    <t>ﾌﾟﾛｸﾞﾗﾑ名4</t>
  </si>
  <si>
    <t>[PGMNM1]</t>
  </si>
  <si>
    <t>[PGMID2]</t>
  </si>
  <si>
    <t>[PGMNM2]</t>
  </si>
  <si>
    <t>[PGMID3]</t>
  </si>
  <si>
    <t>[PGMNM3]</t>
  </si>
  <si>
    <t>[PGMID4]</t>
  </si>
  <si>
    <t>[PGMNM4]</t>
  </si>
  <si>
    <t>延長保証書発行（共通チェック処理）</t>
  </si>
  <si>
    <t>FG05102P</t>
  </si>
  <si>
    <t>延長保証書発行（ブロック３処理）</t>
  </si>
  <si>
    <t>FG05103P</t>
  </si>
  <si>
    <t>延長保証書発行（ブロック４処理）</t>
  </si>
  <si>
    <t>FG05104P</t>
  </si>
  <si>
    <t>延長保証書発行（ブロック２処理）</t>
  </si>
  <si>
    <t>ﾌﾟﾛｸﾞﾗﾑ名5</t>
  </si>
  <si>
    <t>ﾌﾟﾛｸﾞﾗﾑID6</t>
  </si>
  <si>
    <t>ﾌﾟﾛｸﾞﾗﾑ名6</t>
  </si>
  <si>
    <t>ﾌﾟﾛｸﾞﾗﾑID7</t>
  </si>
  <si>
    <t>ﾌﾟﾛｸﾞﾗﾑ名7</t>
  </si>
  <si>
    <t>ﾌﾟﾛｸﾞﾗﾑID8</t>
  </si>
  <si>
    <t>ﾌﾟﾛｸﾞﾗﾑ名8</t>
  </si>
  <si>
    <t>[PGMNM5]</t>
  </si>
  <si>
    <t>[PGMID6]</t>
  </si>
  <si>
    <t>[PGMNM6]</t>
  </si>
  <si>
    <t>[PGMID7]</t>
  </si>
  <si>
    <t>[PGMNM7]</t>
  </si>
  <si>
    <t>[PGMID8]</t>
  </si>
  <si>
    <t>[PGMNM8]</t>
  </si>
  <si>
    <t>常空</t>
    <rPh sb="0" eb="1">
      <t>ジョウ</t>
    </rPh>
    <rPh sb="1" eb="2">
      <t>カラ</t>
    </rPh>
    <phoneticPr fontId="13"/>
  </si>
  <si>
    <t>例1</t>
    <rPh sb="0" eb="1">
      <t>レイ</t>
    </rPh>
    <phoneticPr fontId="1"/>
  </si>
  <si>
    <t>[M1]</t>
    <phoneticPr fontId="1"/>
  </si>
  <si>
    <t>担当者</t>
    <phoneticPr fontId="13"/>
  </si>
  <si>
    <t>KVM(Key/Value Map)仕様説明</t>
    <rPh sb="18" eb="20">
      <t>シヨウ</t>
    </rPh>
    <rPh sb="20" eb="22">
      <t>セツメイ</t>
    </rPh>
    <phoneticPr fontId="1"/>
  </si>
  <si>
    <t>KVM(Key/Value Map)仕様説明   [KEY]/VALUEの数は自由追加可能</t>
    <rPh sb="18" eb="20">
      <t>シヨウ</t>
    </rPh>
    <rPh sb="20" eb="22">
      <t>セツメイ</t>
    </rPh>
    <phoneticPr fontId="1"/>
  </si>
  <si>
    <t>未設定の場合、ThisWorkbook.Path</t>
    <rPh sb="0" eb="3">
      <t>ミセッテイ</t>
    </rPh>
    <rPh sb="4" eb="6">
      <t>バアイ</t>
    </rPh>
    <phoneticPr fontId="1"/>
  </si>
  <si>
    <t>ExportFolder</t>
    <phoneticPr fontId="1"/>
  </si>
  <si>
    <t>exportfiles</t>
    <phoneticPr fontId="1"/>
  </si>
  <si>
    <t>autotest</t>
    <phoneticPr fontId="1"/>
  </si>
  <si>
    <t>ProjectName</t>
    <phoneticPr fontId="1"/>
  </si>
  <si>
    <t>RootPath</t>
    <phoneticPr fontId="1"/>
  </si>
  <si>
    <t>##COL_DATA_CONFIG</t>
    <phoneticPr fontId="1"/>
  </si>
  <si>
    <t>##COL_DATA_CONFIG</t>
    <phoneticPr fontId="1"/>
  </si>
  <si>
    <t>##COL_DATA_CONFIG</t>
    <phoneticPr fontId="1"/>
  </si>
  <si>
    <t>PRJ_NAME</t>
    <phoneticPr fontId="1"/>
  </si>
  <si>
    <t>ROOTPATH</t>
    <phoneticPr fontId="1"/>
  </si>
  <si>
    <t>sample</t>
    <phoneticPr fontId="1"/>
  </si>
  <si>
    <t>/s</t>
    <phoneticPr fontId="1"/>
  </si>
  <si>
    <t>##ROW_DATA_CONFIG</t>
    <phoneticPr fontId="1"/>
  </si>
  <si>
    <t>OPT1</t>
    <phoneticPr fontId="1"/>
  </si>
  <si>
    <t>プロジェクト概要紹介</t>
    <rPh sb="6" eb="8">
      <t>ガイヨウ</t>
    </rPh>
    <rPh sb="8" eb="10">
      <t>ショウカイ</t>
    </rPh>
    <phoneticPr fontId="1"/>
  </si>
  <si>
    <t>Data Options</t>
    <phoneticPr fontId="1"/>
  </si>
  <si>
    <t>GROUP_KEY1</t>
    <phoneticPr fontId="1"/>
  </si>
  <si>
    <t>サンプルグループ</t>
    <phoneticPr fontId="1"/>
  </si>
  <si>
    <t>サンプルグループ２</t>
    <phoneticPr fontId="1"/>
  </si>
  <si>
    <t>GROUP_KEY2</t>
    <phoneticPr fontId="1"/>
  </si>
  <si>
    <t>Data Options</t>
    <phoneticPr fontId="1"/>
  </si>
  <si>
    <t>UPD_DATE</t>
    <phoneticPr fontId="1"/>
  </si>
  <si>
    <t>NEW_DATE</t>
    <phoneticPr fontId="1"/>
  </si>
  <si>
    <t>桃太郎</t>
    <rPh sb="0" eb="3">
      <t>モモタロウ</t>
    </rPh>
    <phoneticPr fontId="1"/>
  </si>
  <si>
    <t>group1</t>
    <phoneticPr fontId="1"/>
  </si>
  <si>
    <t>group2</t>
    <phoneticPr fontId="1"/>
  </si>
  <si>
    <t>group2</t>
    <phoneticPr fontId="1"/>
  </si>
  <si>
    <t>作成日時</t>
    <rPh sb="0" eb="2">
      <t>サクセイ</t>
    </rPh>
    <rPh sb="2" eb="4">
      <t>ニチジ</t>
    </rPh>
    <phoneticPr fontId="1"/>
  </si>
  <si>
    <t>更新日時</t>
    <rPh sb="0" eb="2">
      <t>コウシン</t>
    </rPh>
    <rPh sb="2" eb="4">
      <t>ニチジ</t>
    </rPh>
    <phoneticPr fontId="1"/>
  </si>
  <si>
    <t>SYSTEM</t>
    <phoneticPr fontId="1"/>
  </si>
  <si>
    <t>ProjectName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</si>
</sst>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34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b/>
      <sz val="18"/>
      <color theme="3"/>
      <name val="游ゴシック Light"/>
      <family val="2"/>
      <charset val="128"/>
      <scheme val="major"/>
    </font>
    <font>
      <sz val="9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10.5"/>
      <color theme="1"/>
      <name val="ＭＳ Ｐゴシック"/>
      <family val="3"/>
      <charset val="128"/>
    </font>
    <font>
      <sz val="1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9"/>
      <color rgb="FFFFFF00"/>
      <name val="ＭＳ Ｐ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9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1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0" borderId="0" xfId="0" applyFill="1">
      <alignment vertical="center"/>
    </xf>
    <xf numFmtId="0" fontId="3" fillId="5" borderId="0" xfId="0" applyFont="1" applyFill="1">
      <alignment vertical="center"/>
    </xf>
    <xf numFmtId="0" fontId="0" fillId="3" borderId="1" xfId="0" applyFill="1" applyBorder="1">
      <alignment vertical="center"/>
    </xf>
    <xf numFmtId="0" fontId="2" fillId="5" borderId="0" xfId="0" applyFont="1" applyFill="1">
      <alignment vertical="center"/>
    </xf>
    <xf numFmtId="0" fontId="0" fillId="3" borderId="0" xfId="0" applyFill="1" applyBorder="1">
      <alignment vertical="center"/>
    </xf>
    <xf numFmtId="0" fontId="0" fillId="4" borderId="1" xfId="0" applyFill="1" applyBorder="1">
      <alignment vertical="center"/>
    </xf>
    <xf numFmtId="0" fontId="3" fillId="2" borderId="1" xfId="0" applyFont="1" applyFill="1" applyBorder="1">
      <alignment vertical="center"/>
    </xf>
    <xf numFmtId="0" fontId="0" fillId="5" borderId="3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4" xfId="0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7" fillId="7" borderId="7" xfId="0" applyFont="1" applyFill="1" applyBorder="1">
      <alignment vertical="center"/>
    </xf>
    <xf numFmtId="0" fontId="7" fillId="7" borderId="8" xfId="0" applyFont="1" applyFill="1" applyBorder="1">
      <alignment vertical="center"/>
    </xf>
    <xf numFmtId="0" fontId="8" fillId="7" borderId="8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0" xfId="0" applyFont="1" applyBorder="1">
      <alignment vertical="center"/>
    </xf>
    <xf numFmtId="0" fontId="11" fillId="0" borderId="10" xfId="0" applyFont="1" applyBorder="1">
      <alignment vertical="center"/>
    </xf>
    <xf numFmtId="0" fontId="11" fillId="0" borderId="0" xfId="0" applyFont="1">
      <alignment vertical="center"/>
    </xf>
    <xf numFmtId="0" fontId="12" fillId="8" borderId="12" xfId="0" applyFont="1" applyFill="1" applyBorder="1" applyAlignment="1">
      <alignment vertical="center"/>
    </xf>
    <xf numFmtId="0" fontId="14" fillId="8" borderId="13" xfId="0" applyFont="1" applyFill="1" applyBorder="1" applyAlignment="1">
      <alignment vertical="center"/>
    </xf>
    <xf numFmtId="0" fontId="14" fillId="0" borderId="13" xfId="0" applyFont="1" applyFill="1" applyBorder="1" applyAlignment="1">
      <alignment vertical="center"/>
    </xf>
    <xf numFmtId="0" fontId="14" fillId="0" borderId="14" xfId="0" applyFont="1" applyFill="1" applyBorder="1" applyAlignment="1">
      <alignment vertical="center"/>
    </xf>
    <xf numFmtId="0" fontId="16" fillId="0" borderId="15" xfId="0" applyFont="1" applyBorder="1">
      <alignment vertical="center"/>
    </xf>
    <xf numFmtId="0" fontId="18" fillId="3" borderId="1" xfId="0" applyFont="1" applyFill="1" applyBorder="1" applyAlignment="1">
      <alignment vertical="center" shrinkToFit="1"/>
    </xf>
    <xf numFmtId="0" fontId="11" fillId="9" borderId="1" xfId="0" applyFont="1" applyFill="1" applyBorder="1">
      <alignment vertical="center"/>
    </xf>
    <xf numFmtId="0" fontId="11" fillId="9" borderId="1" xfId="0" applyFont="1" applyFill="1" applyBorder="1" applyAlignment="1">
      <alignment vertical="center"/>
    </xf>
    <xf numFmtId="0" fontId="11" fillId="3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7" fillId="0" borderId="1" xfId="0" applyFont="1" applyFill="1" applyBorder="1" applyAlignment="1">
      <alignment vertical="center" shrinkToFit="1"/>
    </xf>
    <xf numFmtId="0" fontId="2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0" borderId="15" xfId="0" applyBorder="1">
      <alignment vertical="center"/>
    </xf>
    <xf numFmtId="0" fontId="0" fillId="9" borderId="3" xfId="0" applyFill="1" applyBorder="1" applyAlignment="1">
      <alignment vertical="center"/>
    </xf>
    <xf numFmtId="0" fontId="22" fillId="9" borderId="1" xfId="0" applyFont="1" applyFill="1" applyBorder="1">
      <alignment vertical="center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vertical="center"/>
    </xf>
    <xf numFmtId="0" fontId="18" fillId="0" borderId="1" xfId="0" applyFont="1" applyFill="1" applyBorder="1" applyAlignment="1">
      <alignment vertical="center" shrinkToFit="1"/>
    </xf>
    <xf numFmtId="0" fontId="20" fillId="8" borderId="6" xfId="0" applyFont="1" applyFill="1" applyBorder="1" applyAlignment="1">
      <alignment vertical="center"/>
    </xf>
    <xf numFmtId="0" fontId="20" fillId="0" borderId="6" xfId="0" applyFont="1" applyFill="1" applyBorder="1" applyAlignment="1">
      <alignment vertical="center"/>
    </xf>
    <xf numFmtId="0" fontId="20" fillId="0" borderId="2" xfId="0" applyFont="1" applyFill="1" applyBorder="1" applyAlignment="1">
      <alignment vertical="center"/>
    </xf>
    <xf numFmtId="0" fontId="20" fillId="8" borderId="5" xfId="0" applyFont="1" applyFill="1" applyBorder="1" applyAlignment="1">
      <alignment vertical="center"/>
    </xf>
    <xf numFmtId="0" fontId="20" fillId="0" borderId="5" xfId="0" applyFont="1" applyFill="1" applyBorder="1" applyAlignment="1">
      <alignment vertical="center"/>
    </xf>
    <xf numFmtId="0" fontId="20" fillId="0" borderId="4" xfId="0" applyFont="1" applyFill="1" applyBorder="1" applyAlignment="1">
      <alignment vertical="center"/>
    </xf>
    <xf numFmtId="0" fontId="27" fillId="0" borderId="3" xfId="0" applyFont="1" applyFill="1" applyBorder="1">
      <alignment vertical="center"/>
    </xf>
    <xf numFmtId="0" fontId="0" fillId="0" borderId="16" xfId="0" applyFill="1" applyBorder="1">
      <alignment vertical="center"/>
    </xf>
    <xf numFmtId="0" fontId="19" fillId="8" borderId="1" xfId="0" applyFont="1" applyFill="1" applyBorder="1" applyAlignment="1">
      <alignment vertical="center"/>
    </xf>
    <xf numFmtId="0" fontId="19" fillId="8" borderId="17" xfId="0" applyFont="1" applyFill="1" applyBorder="1" applyAlignment="1">
      <alignment vertical="center"/>
    </xf>
    <xf numFmtId="0" fontId="19" fillId="8" borderId="5" xfId="0" applyFont="1" applyFill="1" applyBorder="1" applyAlignment="1">
      <alignment vertical="center"/>
    </xf>
    <xf numFmtId="0" fontId="9" fillId="7" borderId="1" xfId="0" applyFont="1" applyFill="1" applyBorder="1" applyAlignment="1">
      <alignment vertical="center" shrinkToFit="1"/>
    </xf>
    <xf numFmtId="0" fontId="0" fillId="2" borderId="3" xfId="0" applyFill="1" applyBorder="1" applyAlignment="1">
      <alignment vertical="center"/>
    </xf>
    <xf numFmtId="14" fontId="10" fillId="0" borderId="1" xfId="0" applyNumberFormat="1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2" xfId="0" applyFill="1" applyBorder="1">
      <alignment vertical="center"/>
    </xf>
    <xf numFmtId="0" fontId="17" fillId="0" borderId="7" xfId="0" applyFont="1" applyFill="1" applyBorder="1" applyAlignment="1">
      <alignment vertical="center" shrinkToFit="1"/>
    </xf>
    <xf numFmtId="0" fontId="18" fillId="3" borderId="18" xfId="0" applyFont="1" applyFill="1" applyBorder="1" applyAlignment="1">
      <alignment vertical="center" shrinkToFit="1"/>
    </xf>
    <xf numFmtId="0" fontId="21" fillId="11" borderId="18" xfId="0" applyFont="1" applyFill="1" applyBorder="1" applyAlignment="1">
      <alignment vertical="center" shrinkToFit="1"/>
    </xf>
    <xf numFmtId="0" fontId="2" fillId="2" borderId="1" xfId="0" applyFont="1" applyFill="1" applyBorder="1">
      <alignment vertical="center"/>
    </xf>
    <xf numFmtId="0" fontId="0" fillId="2" borderId="1" xfId="0" applyFill="1" applyBorder="1" applyAlignment="1">
      <alignment vertical="center"/>
    </xf>
    <xf numFmtId="0" fontId="27" fillId="0" borderId="1" xfId="0" applyFont="1" applyFill="1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0" fillId="10" borderId="1" xfId="0" applyFill="1" applyBorder="1" applyAlignment="1">
      <alignment vertical="center" shrinkToFit="1"/>
    </xf>
    <xf numFmtId="0" fontId="0" fillId="9" borderId="3" xfId="0" applyFill="1" applyBorder="1" applyAlignment="1">
      <alignment vertical="center" shrinkToFit="1"/>
    </xf>
    <xf numFmtId="0" fontId="11" fillId="0" borderId="1" xfId="0" applyFont="1" applyFill="1" applyBorder="1" applyAlignment="1">
      <alignment vertical="center" shrinkToFit="1"/>
    </xf>
    <xf numFmtId="14" fontId="10" fillId="0" borderId="1" xfId="0" applyNumberFormat="1" applyFont="1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12" fillId="0" borderId="11" xfId="0" applyFont="1" applyFill="1" applyBorder="1">
      <alignment vertical="center"/>
    </xf>
    <xf numFmtId="0" fontId="11" fillId="0" borderId="11" xfId="0" applyFont="1" applyFill="1" applyBorder="1">
      <alignment vertical="center"/>
    </xf>
    <xf numFmtId="0" fontId="11" fillId="0" borderId="0" xfId="0" applyFont="1" applyFill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1" xfId="0" applyFont="1" applyFill="1" applyBorder="1">
      <alignment vertical="center"/>
    </xf>
    <xf numFmtId="0" fontId="11" fillId="0" borderId="1" xfId="0" applyFont="1" applyFill="1" applyBorder="1">
      <alignment vertical="center"/>
    </xf>
    <xf numFmtId="0" fontId="11" fillId="0" borderId="1" xfId="0" applyFont="1" applyBorder="1">
      <alignment vertical="center"/>
    </xf>
    <xf numFmtId="0" fontId="17" fillId="3" borderId="1" xfId="0" applyFont="1" applyFill="1" applyBorder="1" applyAlignment="1">
      <alignment vertical="center" shrinkToFit="1"/>
    </xf>
    <xf numFmtId="14" fontId="11" fillId="0" borderId="1" xfId="0" applyNumberFormat="1" applyFont="1" applyFill="1" applyBorder="1">
      <alignment vertical="center"/>
    </xf>
    <xf numFmtId="0" fontId="2" fillId="0" borderId="1" xfId="0" applyFont="1" applyFill="1" applyBorder="1" applyAlignment="1">
      <alignment vertical="center" shrinkToFit="1"/>
    </xf>
    <xf numFmtId="0" fontId="14" fillId="0" borderId="1" xfId="0" applyFont="1" applyFill="1" applyBorder="1">
      <alignment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3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0</xdr:row>
          <xdr:rowOff>47625</xdr:rowOff>
        </xdr:from>
        <xdr:to>
          <xdr:col>10</xdr:col>
          <xdr:colOff>771525</xdr:colOff>
          <xdr:row>0</xdr:row>
          <xdr:rowOff>409575</xdr:rowOff>
        </xdr:to>
        <xdr:sp macro="" textlink="">
          <xdr:nvSpPr>
            <xdr:cNvPr id="12294" name="btnExport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</xdr:row>
          <xdr:rowOff>9525</xdr:rowOff>
        </xdr:from>
        <xdr:to>
          <xdr:col>13</xdr:col>
          <xdr:colOff>0</xdr:colOff>
          <xdr:row>5</xdr:row>
          <xdr:rowOff>133350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685799</xdr:colOff>
      <xdr:row>0</xdr:row>
      <xdr:rowOff>0</xdr:rowOff>
    </xdr:from>
    <xdr:to>
      <xdr:col>13</xdr:col>
      <xdr:colOff>657225</xdr:colOff>
      <xdr:row>4</xdr:row>
      <xdr:rowOff>219075</xdr:rowOff>
    </xdr:to>
    <xdr:sp macro="" textlink="">
      <xdr:nvSpPr>
        <xdr:cNvPr id="3" name="template_prop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972424" y="0"/>
          <a:ext cx="2028826" cy="1171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filetype: properties</a:t>
          </a:r>
        </a:p>
        <a:p>
          <a:r>
            <a:rPr kumimoji="1" lang="en-US" altLang="ja-JP" sz="1100"/>
            <a:t>kvid: {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kvid</a:t>
          </a:r>
          <a:r>
            <a:rPr kumimoji="1" lang="en-US" altLang="ja-JP" sz="1100"/>
            <a:t>}</a:t>
          </a:r>
        </a:p>
        <a:p>
          <a:r>
            <a:rPr kumimoji="1" lang="en-US" altLang="ja-JP" sz="1100"/>
            <a:t>kvmap:</a:t>
          </a:r>
        </a:p>
        <a:p>
          <a:r>
            <a:rPr kumimoji="1" lang="en-US" altLang="ja-JP" sz="1100"/>
            <a:t>  # {comment}</a:t>
          </a:r>
        </a:p>
        <a:p>
          <a:r>
            <a:rPr kumimoji="1" lang="en-US" altLang="ja-JP" sz="1100"/>
            <a:t>  {key}: {value}</a:t>
          </a:r>
        </a:p>
        <a:p>
          <a:r>
            <a:rPr kumimoji="1" lang="en-US" altLang="ja-JP" sz="1100"/>
            <a:t>  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685799</xdr:colOff>
      <xdr:row>0</xdr:row>
      <xdr:rowOff>0</xdr:rowOff>
    </xdr:from>
    <xdr:to>
      <xdr:col>13</xdr:col>
      <xdr:colOff>657225</xdr:colOff>
      <xdr:row>4</xdr:row>
      <xdr:rowOff>219075</xdr:rowOff>
    </xdr:to>
    <xdr:sp macro="" textlink="">
      <xdr:nvSpPr>
        <xdr:cNvPr id="2" name="template_prop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972424" y="0"/>
          <a:ext cx="2028826" cy="1171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filetype: properties</a:t>
          </a:r>
        </a:p>
        <a:p>
          <a:r>
            <a:rPr kumimoji="1" lang="en-US" altLang="ja-JP" sz="1100"/>
            <a:t>kvid: {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kvid</a:t>
          </a:r>
          <a:r>
            <a:rPr kumimoji="1" lang="en-US" altLang="ja-JP" sz="1100"/>
            <a:t>}</a:t>
          </a:r>
        </a:p>
        <a:p>
          <a:r>
            <a:rPr kumimoji="1" lang="en-US" altLang="ja-JP" sz="1100"/>
            <a:t>kvmap:</a:t>
          </a:r>
        </a:p>
        <a:p>
          <a:r>
            <a:rPr kumimoji="1" lang="en-US" altLang="ja-JP" sz="1100"/>
            <a:t>  # {comment}</a:t>
          </a:r>
        </a:p>
        <a:p>
          <a:r>
            <a:rPr kumimoji="1" lang="en-US" altLang="ja-JP" sz="1100"/>
            <a:t>  {key}: {value}</a:t>
          </a:r>
        </a:p>
        <a:p>
          <a:r>
            <a:rPr kumimoji="1" lang="en-US" altLang="ja-JP" sz="1100"/>
            <a:t>  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7"/>
  <sheetViews>
    <sheetView tabSelected="1" workbookViewId="0">
      <selection activeCell="I7" sqref="I7"/>
    </sheetView>
  </sheetViews>
  <sheetFormatPr defaultRowHeight="18.75"/>
  <cols>
    <col min="1" max="1" width="16" bestFit="1" customWidth="1"/>
    <col min="2" max="2" width="13" customWidth="1"/>
    <col min="9" max="11" width="10.75" customWidth="1"/>
  </cols>
  <sheetData>
    <row r="1" spans="1:13" ht="33">
      <c r="A1" s="19" t="s">
        <v>232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1"/>
      <c r="M1" s="22"/>
    </row>
    <row r="2" spans="1:13" s="25" customFormat="1" ht="16.5" thickBot="1">
      <c r="A2" s="57" t="s">
        <v>246</v>
      </c>
      <c r="B2" s="87" t="s">
        <v>263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4"/>
    </row>
    <row r="3" spans="1:13" s="25" customFormat="1" ht="16.5" thickBot="1">
      <c r="A3" s="74" t="s">
        <v>238</v>
      </c>
      <c r="B3" s="26"/>
      <c r="C3" s="26" t="s">
        <v>233</v>
      </c>
      <c r="D3" s="27"/>
      <c r="E3" s="27"/>
      <c r="F3" s="27"/>
      <c r="G3" s="27"/>
      <c r="H3" s="85"/>
      <c r="I3" s="85"/>
      <c r="J3" s="85"/>
      <c r="K3" s="85"/>
      <c r="L3" s="85"/>
      <c r="M3" s="86"/>
    </row>
    <row r="4" spans="1:13" s="25" customFormat="1" ht="16.5" thickBot="1">
      <c r="A4" s="74" t="s">
        <v>264</v>
      </c>
      <c r="B4" s="26" t="s">
        <v>236</v>
      </c>
      <c r="C4" s="26"/>
      <c r="D4" s="27"/>
      <c r="E4" s="27"/>
      <c r="F4" s="27"/>
      <c r="G4" s="27"/>
      <c r="H4" s="85"/>
      <c r="I4" s="85"/>
      <c r="J4" s="85"/>
      <c r="K4" s="85"/>
      <c r="L4" s="85"/>
      <c r="M4" s="86"/>
    </row>
    <row r="5" spans="1:13" s="25" customFormat="1" ht="16.5" thickBot="1">
      <c r="A5" s="75" t="s">
        <v>234</v>
      </c>
      <c r="B5" s="26" t="s">
        <v>235</v>
      </c>
      <c r="C5" s="26"/>
      <c r="D5" s="27"/>
      <c r="E5" s="27"/>
      <c r="F5" s="27"/>
      <c r="G5" s="27"/>
      <c r="H5" s="27"/>
      <c r="I5" s="27"/>
      <c r="J5" s="28"/>
      <c r="K5" s="28"/>
      <c r="L5" s="28"/>
      <c r="M5" s="29"/>
    </row>
    <row r="6" spans="1:13" s="25" customFormat="1" ht="15.75">
      <c r="A6" s="76"/>
    </row>
    <row r="7" spans="1:13" s="25" customFormat="1" ht="16.5" thickBot="1">
      <c r="A7" s="57" t="s">
        <v>246</v>
      </c>
      <c r="B7" s="84" t="s">
        <v>260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4"/>
    </row>
    <row r="8" spans="1:13" s="25" customFormat="1" ht="16.5" thickBot="1">
      <c r="A8" s="74" t="s">
        <v>238</v>
      </c>
      <c r="B8" s="26"/>
      <c r="C8" s="26" t="s">
        <v>233</v>
      </c>
      <c r="D8" s="27"/>
      <c r="E8" s="27"/>
      <c r="F8" s="27"/>
      <c r="G8" s="27"/>
      <c r="H8" s="85"/>
      <c r="I8" s="85"/>
      <c r="J8" s="85"/>
      <c r="K8" s="85"/>
      <c r="L8" s="85"/>
      <c r="M8" s="86"/>
    </row>
    <row r="9" spans="1:13" s="25" customFormat="1" ht="16.5" thickBot="1">
      <c r="A9" s="74" t="s">
        <v>237</v>
      </c>
      <c r="B9" s="26" t="s">
        <v>236</v>
      </c>
      <c r="C9" s="26"/>
      <c r="D9" s="27"/>
      <c r="E9" s="27"/>
      <c r="F9" s="27"/>
      <c r="G9" s="27"/>
      <c r="H9" s="85"/>
      <c r="I9" s="85"/>
      <c r="J9" s="85"/>
      <c r="K9" s="85"/>
      <c r="L9" s="85"/>
      <c r="M9" s="86"/>
    </row>
    <row r="10" spans="1:13" s="25" customFormat="1" ht="16.5" thickBot="1">
      <c r="A10" s="75" t="s">
        <v>234</v>
      </c>
      <c r="B10" s="26" t="s">
        <v>235</v>
      </c>
      <c r="C10" s="26"/>
      <c r="D10" s="27"/>
      <c r="E10" s="27"/>
      <c r="F10" s="27"/>
      <c r="G10" s="27"/>
      <c r="H10" s="27"/>
      <c r="I10" s="27"/>
      <c r="J10" s="28"/>
      <c r="K10" s="28"/>
      <c r="L10" s="28"/>
      <c r="M10" s="29"/>
    </row>
    <row r="11" spans="1:13" s="25" customFormat="1" ht="15.75">
      <c r="A11" s="76"/>
    </row>
    <row r="12" spans="1:13" s="25" customFormat="1">
      <c r="A12" s="57" t="s">
        <v>241</v>
      </c>
      <c r="B12" s="3" t="s">
        <v>103</v>
      </c>
      <c r="C12" s="77" t="s">
        <v>141</v>
      </c>
      <c r="D12" s="77" t="s">
        <v>142</v>
      </c>
      <c r="E12" s="78" t="s">
        <v>143</v>
      </c>
      <c r="F12" s="78" t="s">
        <v>144</v>
      </c>
      <c r="G12" s="77" t="s">
        <v>145</v>
      </c>
      <c r="H12" s="77" t="s">
        <v>145</v>
      </c>
      <c r="I12" s="78" t="s">
        <v>146</v>
      </c>
      <c r="J12" s="78" t="s">
        <v>147</v>
      </c>
      <c r="K12" s="78" t="s">
        <v>148</v>
      </c>
      <c r="L12" s="78" t="s">
        <v>149</v>
      </c>
      <c r="M12" s="78" t="s">
        <v>150</v>
      </c>
    </row>
    <row r="13" spans="1:13" s="25" customFormat="1">
      <c r="A13" s="84" t="s">
        <v>258</v>
      </c>
      <c r="B13" s="3" t="s">
        <v>35</v>
      </c>
      <c r="C13" s="33" t="s">
        <v>151</v>
      </c>
      <c r="D13" s="33" t="s">
        <v>152</v>
      </c>
      <c r="E13" s="32" t="s">
        <v>153</v>
      </c>
      <c r="F13" s="32" t="s">
        <v>154</v>
      </c>
      <c r="G13" s="33" t="s">
        <v>155</v>
      </c>
      <c r="H13" s="33" t="s">
        <v>156</v>
      </c>
      <c r="I13" s="33" t="s">
        <v>157</v>
      </c>
      <c r="J13" s="33" t="s">
        <v>158</v>
      </c>
      <c r="K13" s="33" t="s">
        <v>159</v>
      </c>
      <c r="L13" s="33" t="s">
        <v>160</v>
      </c>
      <c r="M13" s="33" t="s">
        <v>161</v>
      </c>
    </row>
    <row r="14" spans="1:13" s="25" customFormat="1">
      <c r="A14" s="79"/>
      <c r="B14" s="3" t="s">
        <v>36</v>
      </c>
      <c r="C14" s="36" t="s">
        <v>162</v>
      </c>
      <c r="D14" s="36" t="s">
        <v>163</v>
      </c>
      <c r="E14" s="36" t="s">
        <v>164</v>
      </c>
      <c r="F14" s="80"/>
      <c r="G14" s="31" t="str">
        <f>LEFT(E14,2)</f>
        <v>FG</v>
      </c>
      <c r="H14" s="36" t="s">
        <v>165</v>
      </c>
      <c r="I14" s="81" t="str">
        <f>LEFT(E14,4)</f>
        <v>FG05</v>
      </c>
      <c r="J14" s="36" t="s">
        <v>166</v>
      </c>
      <c r="K14" s="81" t="str">
        <f>LEFT(E14,6)</f>
        <v>FG0510</v>
      </c>
      <c r="L14" s="36" t="s">
        <v>167</v>
      </c>
      <c r="M14" s="36"/>
    </row>
    <row r="15" spans="1:13" s="25" customFormat="1" ht="15.75">
      <c r="A15" s="76"/>
    </row>
    <row r="16" spans="1:13" s="25" customFormat="1" ht="15.75">
      <c r="A16" s="57" t="s">
        <v>239</v>
      </c>
      <c r="B16" s="77" t="s">
        <v>168</v>
      </c>
      <c r="C16" s="77" t="s">
        <v>169</v>
      </c>
      <c r="D16" s="78" t="s">
        <v>169</v>
      </c>
      <c r="E16" s="78" t="s">
        <v>170</v>
      </c>
      <c r="F16" s="77" t="s">
        <v>171</v>
      </c>
      <c r="G16" s="77" t="s">
        <v>172</v>
      </c>
      <c r="H16" s="78" t="s">
        <v>173</v>
      </c>
      <c r="I16" s="78" t="s">
        <v>174</v>
      </c>
      <c r="J16" s="78" t="s">
        <v>150</v>
      </c>
      <c r="K16" s="78" t="s">
        <v>175</v>
      </c>
      <c r="L16" s="78" t="s">
        <v>176</v>
      </c>
    </row>
    <row r="17" spans="1:12" s="25" customFormat="1" ht="15.75">
      <c r="A17" s="84" t="s">
        <v>258</v>
      </c>
      <c r="B17" s="33" t="s">
        <v>177</v>
      </c>
      <c r="C17" s="33" t="s">
        <v>178</v>
      </c>
      <c r="D17" s="32" t="s">
        <v>179</v>
      </c>
      <c r="E17" s="32" t="s">
        <v>180</v>
      </c>
      <c r="F17" s="33" t="s">
        <v>181</v>
      </c>
      <c r="G17" s="33" t="s">
        <v>182</v>
      </c>
      <c r="H17" s="33" t="s">
        <v>183</v>
      </c>
      <c r="I17" s="33" t="s">
        <v>184</v>
      </c>
      <c r="J17" s="33" t="s">
        <v>185</v>
      </c>
      <c r="K17" s="33" t="s">
        <v>186</v>
      </c>
      <c r="L17" s="33" t="s">
        <v>187</v>
      </c>
    </row>
    <row r="18" spans="1:12" s="25" customFormat="1" ht="15.75">
      <c r="A18" s="79"/>
      <c r="B18" s="34" t="str">
        <f ca="1">TEXT(IF(ISBLANK(B19),TODAY(),B19),"YYYY/MM/DD")</f>
        <v>2017/02/08</v>
      </c>
      <c r="C18" s="34" t="str">
        <f ca="1">TEXT(IF(ISBLANK(C19),TODAY(),C19),"MM/DD")</f>
        <v>02/10</v>
      </c>
      <c r="D18" s="34" t="str">
        <f ca="1">TEXT(IF(ISBLANK(D19),TODAY(),D19),"YYYY/MM/DD")</f>
        <v>2017/02/10</v>
      </c>
      <c r="E18" s="35" t="s">
        <v>188</v>
      </c>
      <c r="F18" s="35" t="s">
        <v>189</v>
      </c>
      <c r="G18" s="36" t="s">
        <v>190</v>
      </c>
      <c r="H18" s="36"/>
      <c r="I18" s="36"/>
      <c r="J18" s="36" t="s">
        <v>191</v>
      </c>
      <c r="K18" s="36"/>
      <c r="L18" s="36"/>
    </row>
    <row r="19" spans="1:12" s="25" customFormat="1" ht="15.75">
      <c r="A19" s="79"/>
      <c r="B19" s="82">
        <v>42774</v>
      </c>
      <c r="C19" s="82">
        <v>42776</v>
      </c>
      <c r="D19" s="82">
        <v>42776</v>
      </c>
      <c r="E19" s="78"/>
      <c r="F19" s="78"/>
      <c r="G19" s="78"/>
      <c r="H19" s="78"/>
      <c r="I19" s="78"/>
      <c r="J19" s="78"/>
      <c r="K19" s="78"/>
      <c r="L19" s="78"/>
    </row>
    <row r="20" spans="1:12" s="25" customFormat="1" ht="15.75">
      <c r="A20" s="76"/>
    </row>
    <row r="21" spans="1:12" s="25" customFormat="1" ht="15.75">
      <c r="A21" s="57" t="s">
        <v>239</v>
      </c>
      <c r="B21" s="77" t="s">
        <v>192</v>
      </c>
      <c r="C21" s="77" t="s">
        <v>193</v>
      </c>
      <c r="D21" s="78" t="s">
        <v>194</v>
      </c>
      <c r="E21" s="78" t="s">
        <v>195</v>
      </c>
      <c r="F21" s="77" t="s">
        <v>196</v>
      </c>
      <c r="G21" s="77" t="s">
        <v>197</v>
      </c>
      <c r="H21" s="78" t="s">
        <v>198</v>
      </c>
      <c r="I21" s="78"/>
      <c r="J21" s="78"/>
      <c r="K21" s="78"/>
      <c r="L21" s="78"/>
    </row>
    <row r="22" spans="1:12" s="25" customFormat="1" ht="15.75">
      <c r="A22" s="84" t="s">
        <v>259</v>
      </c>
      <c r="B22" s="33" t="s">
        <v>199</v>
      </c>
      <c r="C22" s="33" t="s">
        <v>200</v>
      </c>
      <c r="D22" s="33" t="s">
        <v>201</v>
      </c>
      <c r="E22" s="33" t="s">
        <v>202</v>
      </c>
      <c r="F22" s="33" t="s">
        <v>203</v>
      </c>
      <c r="G22" s="33" t="s">
        <v>204</v>
      </c>
      <c r="H22" s="33" t="s">
        <v>205</v>
      </c>
      <c r="I22" s="33"/>
      <c r="J22" s="33"/>
      <c r="K22" s="33"/>
      <c r="L22" s="33"/>
    </row>
    <row r="23" spans="1:12" s="25" customFormat="1" ht="15.75">
      <c r="A23" s="79"/>
      <c r="B23" s="80" t="s">
        <v>206</v>
      </c>
      <c r="C23" s="36" t="s">
        <v>207</v>
      </c>
      <c r="D23" s="80" t="s">
        <v>208</v>
      </c>
      <c r="E23" s="36" t="s">
        <v>209</v>
      </c>
      <c r="F23" s="80" t="s">
        <v>210</v>
      </c>
      <c r="G23" s="36" t="s">
        <v>211</v>
      </c>
      <c r="H23" s="80" t="s">
        <v>212</v>
      </c>
      <c r="I23" s="36"/>
      <c r="J23" s="36"/>
      <c r="K23" s="36"/>
      <c r="L23" s="36"/>
    </row>
    <row r="24" spans="1:12" s="25" customFormat="1" ht="15.75">
      <c r="A24" s="76"/>
    </row>
    <row r="25" spans="1:12" s="25" customFormat="1" ht="15.75">
      <c r="A25" s="57" t="s">
        <v>239</v>
      </c>
      <c r="B25" s="78" t="s">
        <v>213</v>
      </c>
      <c r="C25" s="78" t="s">
        <v>214</v>
      </c>
      <c r="D25" s="78" t="s">
        <v>215</v>
      </c>
      <c r="E25" s="78" t="s">
        <v>216</v>
      </c>
      <c r="F25" s="78" t="s">
        <v>217</v>
      </c>
      <c r="G25" s="78" t="s">
        <v>218</v>
      </c>
      <c r="H25" s="78" t="s">
        <v>219</v>
      </c>
      <c r="I25" s="78"/>
      <c r="J25" s="78"/>
      <c r="K25" s="78"/>
      <c r="L25" s="78"/>
    </row>
    <row r="26" spans="1:12" s="25" customFormat="1" ht="15.75">
      <c r="A26" s="79"/>
      <c r="B26" s="33" t="s">
        <v>220</v>
      </c>
      <c r="C26" s="33" t="s">
        <v>221</v>
      </c>
      <c r="D26" s="33" t="s">
        <v>222</v>
      </c>
      <c r="E26" s="33" t="s">
        <v>223</v>
      </c>
      <c r="F26" s="33" t="s">
        <v>224</v>
      </c>
      <c r="G26" s="33" t="s">
        <v>225</v>
      </c>
      <c r="H26" s="33" t="s">
        <v>226</v>
      </c>
      <c r="I26" s="33"/>
      <c r="J26" s="33"/>
      <c r="K26" s="33"/>
      <c r="L26" s="33"/>
    </row>
    <row r="27" spans="1:12" s="25" customFormat="1" ht="15.75">
      <c r="A27" s="79"/>
      <c r="B27" s="80"/>
      <c r="C27" s="36"/>
      <c r="D27" s="80"/>
      <c r="E27" s="36"/>
      <c r="F27" s="80"/>
      <c r="G27" s="36"/>
      <c r="H27" s="80"/>
      <c r="I27" s="36"/>
      <c r="J27" s="36"/>
      <c r="K27" s="36"/>
      <c r="L27" s="36"/>
    </row>
  </sheetData>
  <mergeCells count="4">
    <mergeCell ref="H3:M3"/>
    <mergeCell ref="H4:M4"/>
    <mergeCell ref="H8:M8"/>
    <mergeCell ref="H9:M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tnExport">
              <controlPr defaultSize="0" print="0" autoFill="0" autoPict="0" macro="[0]!LoadData">
                <anchor moveWithCells="1" sizeWithCells="1">
                  <from>
                    <xdr:col>10</xdr:col>
                    <xdr:colOff>95250</xdr:colOff>
                    <xdr:row>0</xdr:row>
                    <xdr:rowOff>47625</xdr:rowOff>
                  </from>
                  <to>
                    <xdr:col>10</xdr:col>
                    <xdr:colOff>771525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2"/>
  <sheetViews>
    <sheetView workbookViewId="0">
      <selection activeCell="K11" sqref="K11"/>
    </sheetView>
  </sheetViews>
  <sheetFormatPr defaultRowHeight="18.75"/>
  <cols>
    <col min="1" max="1" width="16" bestFit="1" customWidth="1"/>
    <col min="2" max="2" width="13" customWidth="1"/>
    <col min="3" max="3" width="10" bestFit="1" customWidth="1"/>
    <col min="4" max="4" width="11.75" bestFit="1" customWidth="1"/>
    <col min="9" max="11" width="10.75" customWidth="1"/>
  </cols>
  <sheetData>
    <row r="1" spans="1:13" ht="33">
      <c r="A1" s="19" t="s">
        <v>231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1"/>
      <c r="M1" s="22"/>
    </row>
    <row r="2" spans="1:13">
      <c r="A2" s="57" t="s">
        <v>246</v>
      </c>
      <c r="B2" s="37"/>
      <c r="C2" s="38"/>
      <c r="D2" s="38"/>
      <c r="E2" s="38"/>
      <c r="F2" s="38"/>
      <c r="G2" s="38"/>
      <c r="H2" s="38"/>
      <c r="I2" s="38"/>
      <c r="J2" s="38"/>
      <c r="K2" s="38"/>
      <c r="L2" s="38"/>
      <c r="M2" s="39"/>
    </row>
    <row r="3" spans="1:13">
      <c r="A3" s="52" t="s">
        <v>242</v>
      </c>
      <c r="B3" s="54" t="s">
        <v>244</v>
      </c>
      <c r="C3" s="56" t="s">
        <v>248</v>
      </c>
      <c r="D3" s="49"/>
      <c r="E3" s="49"/>
      <c r="F3" s="49"/>
      <c r="G3" s="49"/>
      <c r="H3" s="49"/>
      <c r="I3" s="49"/>
      <c r="J3" s="50"/>
      <c r="K3" s="50"/>
      <c r="L3" s="50"/>
      <c r="M3" s="51"/>
    </row>
    <row r="4" spans="1:13">
      <c r="A4" s="53" t="s">
        <v>243</v>
      </c>
      <c r="B4" s="55" t="s">
        <v>245</v>
      </c>
      <c r="C4" s="46"/>
      <c r="D4" s="46"/>
      <c r="E4" s="46"/>
      <c r="F4" s="46"/>
      <c r="G4" s="46"/>
      <c r="H4" s="46"/>
      <c r="I4" s="46"/>
      <c r="J4" s="47"/>
      <c r="K4" s="47"/>
      <c r="L4" s="47"/>
      <c r="M4" s="48"/>
    </row>
    <row r="5" spans="1:13">
      <c r="A5" s="40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9"/>
    </row>
    <row r="6" spans="1:13" s="25" customFormat="1" ht="12.75" customHeight="1">
      <c r="A6" s="30" t="s">
        <v>138</v>
      </c>
      <c r="B6" s="62" t="s">
        <v>139</v>
      </c>
      <c r="C6" s="63" t="s">
        <v>140</v>
      </c>
      <c r="D6" s="64" t="s">
        <v>227</v>
      </c>
      <c r="E6" s="23"/>
      <c r="F6" s="23"/>
      <c r="G6" s="23"/>
      <c r="H6" s="23"/>
      <c r="I6" s="23"/>
      <c r="J6" s="23"/>
      <c r="K6" s="23"/>
      <c r="L6" s="23"/>
      <c r="M6" s="24"/>
    </row>
    <row r="7" spans="1:13">
      <c r="A7" s="57" t="s">
        <v>240</v>
      </c>
      <c r="B7" s="3" t="s">
        <v>103</v>
      </c>
      <c r="C7" s="66" t="s">
        <v>141</v>
      </c>
      <c r="D7" s="66"/>
      <c r="E7" s="65" t="s">
        <v>228</v>
      </c>
      <c r="F7" s="2"/>
      <c r="G7" s="2"/>
      <c r="H7" s="2"/>
      <c r="I7" s="2"/>
      <c r="J7" s="2" t="s">
        <v>261</v>
      </c>
      <c r="K7" s="2"/>
      <c r="L7" s="2"/>
      <c r="M7" s="2"/>
    </row>
    <row r="8" spans="1:13">
      <c r="A8" s="83" t="s">
        <v>250</v>
      </c>
      <c r="B8" s="3" t="s">
        <v>35</v>
      </c>
      <c r="C8" s="44" t="s">
        <v>151</v>
      </c>
      <c r="D8" s="44"/>
      <c r="E8" s="42" t="s">
        <v>229</v>
      </c>
      <c r="F8" s="43"/>
      <c r="G8" s="43"/>
      <c r="H8" s="43"/>
      <c r="I8" s="43"/>
      <c r="J8" s="70" t="s">
        <v>256</v>
      </c>
      <c r="K8" s="43"/>
      <c r="L8" s="43"/>
      <c r="M8" s="43"/>
    </row>
    <row r="9" spans="1:13">
      <c r="A9" s="68" t="s">
        <v>251</v>
      </c>
      <c r="B9" s="3" t="s">
        <v>36</v>
      </c>
      <c r="C9" s="45" t="s">
        <v>162</v>
      </c>
      <c r="D9" s="45"/>
      <c r="E9" s="45"/>
      <c r="F9" s="35"/>
      <c r="G9" s="35"/>
      <c r="H9" s="35"/>
      <c r="I9" s="35"/>
      <c r="J9" s="34" t="str">
        <f ca="1">TEXT(IF(ISBLANK(J10),TODAY(),J10),"YYYY/MM/DD")</f>
        <v>2020/11/16</v>
      </c>
      <c r="K9" s="35"/>
      <c r="L9" s="35"/>
      <c r="M9" s="35"/>
    </row>
    <row r="10" spans="1:13">
      <c r="A10" s="69" t="s">
        <v>249</v>
      </c>
      <c r="B10" s="3" t="s">
        <v>247</v>
      </c>
      <c r="C10" s="2"/>
      <c r="D10" s="2"/>
      <c r="E10" s="2"/>
      <c r="F10" s="59"/>
      <c r="G10" s="59"/>
      <c r="H10" s="59"/>
      <c r="I10" s="59"/>
      <c r="J10" s="59">
        <v>44151</v>
      </c>
      <c r="K10" s="59"/>
      <c r="L10" s="59"/>
      <c r="M10" s="59"/>
    </row>
    <row r="12" spans="1:13">
      <c r="A12" s="57" t="s">
        <v>239</v>
      </c>
      <c r="B12" s="3" t="s">
        <v>103</v>
      </c>
      <c r="C12" s="58" t="s">
        <v>168</v>
      </c>
      <c r="D12" s="58" t="s">
        <v>169</v>
      </c>
      <c r="E12" s="2" t="s">
        <v>169</v>
      </c>
      <c r="F12" s="2" t="s">
        <v>230</v>
      </c>
      <c r="G12" s="58" t="s">
        <v>171</v>
      </c>
      <c r="H12" s="58" t="s">
        <v>172</v>
      </c>
      <c r="I12" s="2" t="s">
        <v>173</v>
      </c>
      <c r="J12" s="2" t="s">
        <v>174</v>
      </c>
      <c r="K12" s="2" t="s">
        <v>150</v>
      </c>
      <c r="L12" s="2" t="s">
        <v>175</v>
      </c>
      <c r="M12" s="2" t="s">
        <v>176</v>
      </c>
    </row>
    <row r="13" spans="1:13">
      <c r="A13" s="67" t="s">
        <v>253</v>
      </c>
      <c r="B13" s="3" t="s">
        <v>35</v>
      </c>
      <c r="C13" s="41" t="s">
        <v>177</v>
      </c>
      <c r="D13" s="41" t="s">
        <v>178</v>
      </c>
      <c r="E13" s="43" t="s">
        <v>179</v>
      </c>
      <c r="F13" s="43" t="s">
        <v>180</v>
      </c>
      <c r="G13" s="41" t="s">
        <v>181</v>
      </c>
      <c r="H13" s="41" t="s">
        <v>182</v>
      </c>
      <c r="I13" s="44" t="s">
        <v>183</v>
      </c>
      <c r="J13" s="44" t="s">
        <v>184</v>
      </c>
      <c r="K13" s="44" t="s">
        <v>185</v>
      </c>
      <c r="L13" s="44" t="s">
        <v>186</v>
      </c>
      <c r="M13" s="44" t="s">
        <v>187</v>
      </c>
    </row>
    <row r="14" spans="1:13">
      <c r="A14" s="68" t="s">
        <v>252</v>
      </c>
      <c r="B14" s="3" t="s">
        <v>36</v>
      </c>
      <c r="C14" s="34" t="str">
        <f ca="1">TEXT(IF(ISBLANK(C15),TODAY(),C15),"YYYY/MM/DD")</f>
        <v>2017/02/08</v>
      </c>
      <c r="D14" s="34" t="str">
        <f ca="1">TEXT(IF(ISBLANK(D15),TODAY(),D15),"MM/DD")</f>
        <v>02/10</v>
      </c>
      <c r="E14" s="34" t="str">
        <f ca="1">TEXT(IF(ISBLANK(E15),TODAY(),E15),"YYYY/MM/DD")</f>
        <v>2017/02/10</v>
      </c>
      <c r="F14" s="35" t="s">
        <v>257</v>
      </c>
      <c r="G14" s="35" t="s">
        <v>189</v>
      </c>
      <c r="H14" s="45" t="s">
        <v>190</v>
      </c>
      <c r="I14" s="45"/>
      <c r="J14" s="45"/>
      <c r="K14" s="45" t="s">
        <v>191</v>
      </c>
      <c r="L14" s="45"/>
      <c r="M14" s="45"/>
    </row>
    <row r="15" spans="1:13">
      <c r="A15" s="69" t="s">
        <v>254</v>
      </c>
      <c r="B15" s="3" t="s">
        <v>247</v>
      </c>
      <c r="C15" s="59">
        <v>42774</v>
      </c>
      <c r="D15" s="59">
        <v>42776</v>
      </c>
      <c r="E15" s="59">
        <v>42776</v>
      </c>
      <c r="F15" s="60"/>
      <c r="G15" s="60"/>
      <c r="H15" s="60"/>
      <c r="I15" s="60"/>
      <c r="J15" s="60"/>
      <c r="K15" s="60"/>
      <c r="L15" s="60"/>
      <c r="M15" s="61"/>
    </row>
    <row r="19" spans="1:13">
      <c r="A19" s="57" t="s">
        <v>241</v>
      </c>
      <c r="B19" s="3" t="s">
        <v>103</v>
      </c>
      <c r="C19" s="73" t="s">
        <v>262</v>
      </c>
      <c r="D19" s="2" t="s">
        <v>261</v>
      </c>
      <c r="E19" s="73"/>
      <c r="F19" s="73"/>
      <c r="G19" s="73"/>
      <c r="H19" s="73"/>
      <c r="I19" s="73"/>
      <c r="J19" s="73"/>
      <c r="K19" s="73"/>
      <c r="L19" s="73"/>
      <c r="M19" s="73"/>
    </row>
    <row r="20" spans="1:13">
      <c r="A20" s="67" t="s">
        <v>253</v>
      </c>
      <c r="B20" s="3" t="s">
        <v>35</v>
      </c>
      <c r="C20" s="70" t="s">
        <v>255</v>
      </c>
      <c r="D20" s="70" t="s">
        <v>256</v>
      </c>
      <c r="E20" s="70"/>
      <c r="F20" s="70"/>
      <c r="G20" s="70"/>
      <c r="H20" s="70"/>
      <c r="I20" s="70"/>
      <c r="J20" s="70"/>
      <c r="K20" s="70"/>
      <c r="L20" s="70"/>
      <c r="M20" s="70"/>
    </row>
    <row r="21" spans="1:13">
      <c r="A21" s="68" t="s">
        <v>252</v>
      </c>
      <c r="B21" s="3" t="s">
        <v>36</v>
      </c>
      <c r="C21" s="34" t="str">
        <f ca="1">TEXT(IF(ISBLANK(C22),TODAY(),C22),"YYYY/MM/DD")</f>
        <v>2020/11/16</v>
      </c>
      <c r="D21" s="34" t="str">
        <f ca="1">TEXT(IF(ISBLANK(D22),TODAY(),D22),"YYYY/MM/DD")</f>
        <v>2020/11/16</v>
      </c>
      <c r="E21" s="71"/>
      <c r="F21" s="71"/>
      <c r="G21" s="71"/>
      <c r="H21" s="45"/>
      <c r="I21" s="35"/>
      <c r="J21" s="45"/>
      <c r="K21" s="35"/>
      <c r="L21" s="45"/>
      <c r="M21" s="45"/>
    </row>
    <row r="22" spans="1:13">
      <c r="A22" s="69" t="s">
        <v>254</v>
      </c>
      <c r="B22" s="3" t="s">
        <v>247</v>
      </c>
      <c r="C22" s="59">
        <v>44151</v>
      </c>
      <c r="D22" s="59">
        <v>44151</v>
      </c>
      <c r="E22" s="72"/>
      <c r="F22" s="72"/>
      <c r="G22" s="72"/>
      <c r="H22" s="59"/>
      <c r="I22" s="59"/>
      <c r="J22" s="59"/>
      <c r="K22" s="59"/>
      <c r="L22" s="59"/>
      <c r="M22" s="59"/>
    </row>
  </sheetData>
  <phoneticPr fontId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H17" sqref="H17"/>
    </sheetView>
  </sheetViews>
  <sheetFormatPr defaultRowHeight="18.75"/>
  <cols>
    <col min="3" max="3" width="13" bestFit="1" customWidth="1"/>
    <col min="4" max="4" width="10.125" bestFit="1" customWidth="1"/>
    <col min="5" max="5" width="9.5" customWidth="1"/>
    <col min="11" max="11" width="15.125" bestFit="1" customWidth="1"/>
  </cols>
  <sheetData>
    <row r="1" spans="1:11">
      <c r="A1" s="17"/>
      <c r="B1" s="17"/>
      <c r="C1" s="17"/>
      <c r="D1" s="17"/>
      <c r="E1" s="18"/>
      <c r="F1" s="14" t="s">
        <v>94</v>
      </c>
      <c r="G1" s="15"/>
      <c r="H1" s="16"/>
      <c r="I1" s="14" t="s">
        <v>95</v>
      </c>
      <c r="J1" s="16"/>
      <c r="K1" s="9" t="s">
        <v>93</v>
      </c>
    </row>
    <row r="2" spans="1:11">
      <c r="A2" s="6" t="s">
        <v>96</v>
      </c>
      <c r="B2" s="6" t="s">
        <v>98</v>
      </c>
      <c r="C2" s="6" t="s">
        <v>0</v>
      </c>
      <c r="D2" s="6" t="s">
        <v>24</v>
      </c>
      <c r="E2" s="6" t="s">
        <v>25</v>
      </c>
      <c r="F2" s="6" t="s">
        <v>83</v>
      </c>
      <c r="G2" s="6" t="s">
        <v>84</v>
      </c>
      <c r="H2" s="6" t="s">
        <v>85</v>
      </c>
      <c r="I2" s="6" t="s">
        <v>88</v>
      </c>
      <c r="J2" s="6" t="s">
        <v>89</v>
      </c>
      <c r="K2" s="9" t="s">
        <v>92</v>
      </c>
    </row>
    <row r="3" spans="1:11">
      <c r="A3" s="1" t="s">
        <v>22</v>
      </c>
      <c r="B3" s="1">
        <v>1</v>
      </c>
      <c r="C3" s="1" t="s">
        <v>2</v>
      </c>
      <c r="D3" s="1" t="s">
        <v>45</v>
      </c>
      <c r="E3" s="1"/>
      <c r="F3" s="1"/>
      <c r="G3" s="1"/>
      <c r="H3" s="1"/>
      <c r="I3" s="1"/>
      <c r="J3" s="1"/>
      <c r="K3" s="1"/>
    </row>
    <row r="4" spans="1:11">
      <c r="A4" s="1"/>
      <c r="B4" s="1">
        <v>2</v>
      </c>
      <c r="C4" s="1" t="s">
        <v>1</v>
      </c>
      <c r="D4" s="1"/>
      <c r="E4" s="1"/>
      <c r="F4" s="1">
        <v>1</v>
      </c>
      <c r="G4" s="1">
        <v>1</v>
      </c>
      <c r="H4" s="1">
        <v>1</v>
      </c>
      <c r="I4" s="1" t="s">
        <v>90</v>
      </c>
      <c r="J4" s="1" t="s">
        <v>91</v>
      </c>
      <c r="K4" s="1"/>
    </row>
    <row r="5" spans="1:11">
      <c r="A5" s="1"/>
      <c r="B5" s="1">
        <v>3</v>
      </c>
      <c r="C5" s="1" t="s">
        <v>27</v>
      </c>
      <c r="D5" s="1"/>
      <c r="E5" s="1" t="s">
        <v>134</v>
      </c>
      <c r="F5" s="1"/>
      <c r="G5" s="1"/>
      <c r="H5" s="1"/>
      <c r="I5" s="1"/>
      <c r="J5" s="1"/>
      <c r="K5" s="1"/>
    </row>
    <row r="6" spans="1:11">
      <c r="A6" s="1"/>
      <c r="B6" s="1">
        <v>4</v>
      </c>
      <c r="C6" s="1" t="s">
        <v>97</v>
      </c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5</v>
      </c>
      <c r="C7" s="1" t="s">
        <v>100</v>
      </c>
      <c r="D7" s="1"/>
      <c r="E7" s="1" t="s">
        <v>26</v>
      </c>
      <c r="F7" s="1"/>
      <c r="G7" s="1"/>
      <c r="H7" s="1"/>
      <c r="I7" s="1"/>
      <c r="J7" s="1"/>
      <c r="K7" s="1"/>
    </row>
    <row r="8" spans="1:11">
      <c r="A8" s="1"/>
      <c r="B8" s="1">
        <v>6</v>
      </c>
      <c r="C8" s="1" t="s">
        <v>97</v>
      </c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7</v>
      </c>
      <c r="C9" s="1" t="s">
        <v>99</v>
      </c>
      <c r="D9" s="1"/>
      <c r="E9" s="1" t="s">
        <v>102</v>
      </c>
      <c r="F9" s="1"/>
      <c r="G9" s="1"/>
      <c r="H9" s="1"/>
      <c r="I9" s="1"/>
      <c r="J9" s="1"/>
      <c r="K9" s="1"/>
    </row>
    <row r="10" spans="1:11">
      <c r="A10" s="1"/>
      <c r="B10" s="1">
        <v>8</v>
      </c>
      <c r="C10" s="1" t="s">
        <v>101</v>
      </c>
      <c r="D10" s="1"/>
      <c r="F10" s="1"/>
      <c r="G10" s="1"/>
      <c r="H10" s="1"/>
      <c r="I10" s="1"/>
      <c r="J10" s="1"/>
      <c r="K10" s="1"/>
    </row>
    <row r="11" spans="1:1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 t="s">
        <v>23</v>
      </c>
      <c r="B12" s="1">
        <v>1</v>
      </c>
      <c r="C12" s="1" t="s">
        <v>2</v>
      </c>
      <c r="D12" s="1" t="s">
        <v>46</v>
      </c>
      <c r="E12" s="1"/>
      <c r="F12" s="1"/>
      <c r="G12" s="1"/>
      <c r="H12" s="1"/>
      <c r="I12" s="1"/>
      <c r="J12" s="1"/>
      <c r="K12" s="1"/>
    </row>
    <row r="13" spans="1:1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 t="s">
        <v>47</v>
      </c>
      <c r="B14" s="1"/>
      <c r="C14" s="1" t="s">
        <v>2</v>
      </c>
      <c r="D14" s="1" t="s">
        <v>48</v>
      </c>
      <c r="E14" s="1"/>
      <c r="F14" s="1"/>
      <c r="G14" s="1"/>
      <c r="H14" s="1"/>
      <c r="I14" s="1"/>
      <c r="J14" s="1"/>
      <c r="K14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Export">
              <controlPr defaultSize="0" print="0" autoFill="0" autoPict="0" macro="[0]!LoadData">
                <anchor moveWithCells="1" sizeWithCells="1">
                  <from>
                    <xdr:col>12</xdr:col>
                    <xdr:colOff>9525</xdr:colOff>
                    <xdr:row>4</xdr:row>
                    <xdr:rowOff>9525</xdr:rowOff>
                  </from>
                  <to>
                    <xdr:col>13</xdr:col>
                    <xdr:colOff>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B7" sqref="B7:B9"/>
    </sheetView>
  </sheetViews>
  <sheetFormatPr defaultRowHeight="18.75"/>
  <cols>
    <col min="1" max="1" width="10.375" bestFit="1" customWidth="1"/>
    <col min="2" max="2" width="11.25" bestFit="1" customWidth="1"/>
    <col min="4" max="4" width="11" bestFit="1" customWidth="1"/>
  </cols>
  <sheetData>
    <row r="1" spans="1:11" s="7" customFormat="1">
      <c r="A1" s="8" t="s">
        <v>37</v>
      </c>
      <c r="B1" s="5" t="s">
        <v>39</v>
      </c>
      <c r="C1" s="5"/>
      <c r="D1" s="5"/>
      <c r="E1" s="5"/>
      <c r="F1" s="5"/>
      <c r="G1" s="5"/>
      <c r="H1" s="5"/>
      <c r="I1" s="5"/>
      <c r="J1" s="5"/>
      <c r="K1" s="5"/>
    </row>
    <row r="2" spans="1:11" s="7" customFormat="1">
      <c r="A2" s="8"/>
      <c r="B2" s="5" t="s">
        <v>40</v>
      </c>
      <c r="C2" s="5"/>
      <c r="D2" s="5"/>
      <c r="E2" s="5"/>
      <c r="F2" s="5"/>
      <c r="G2" s="5"/>
      <c r="H2" s="5"/>
      <c r="I2" s="5"/>
      <c r="J2" s="5"/>
      <c r="K2" s="5"/>
    </row>
    <row r="3" spans="1:11" s="7" customFormat="1">
      <c r="A3" s="8"/>
      <c r="B3" s="5" t="s">
        <v>41</v>
      </c>
      <c r="C3" s="5"/>
      <c r="D3" s="5"/>
      <c r="E3" s="5"/>
      <c r="F3" s="5"/>
      <c r="G3" s="5"/>
      <c r="H3" s="5"/>
      <c r="I3" s="5"/>
      <c r="J3" s="5"/>
      <c r="K3" s="5"/>
    </row>
    <row r="4" spans="1:11" s="7" customFormat="1">
      <c r="A4" s="8"/>
      <c r="B4" s="10" t="s">
        <v>42</v>
      </c>
      <c r="C4" s="5"/>
      <c r="D4" s="5"/>
      <c r="E4" s="5"/>
      <c r="F4" s="5"/>
      <c r="G4" s="5"/>
      <c r="H4" s="5"/>
      <c r="I4" s="5"/>
      <c r="J4" s="5"/>
      <c r="K4" s="5"/>
    </row>
    <row r="5" spans="1:11" s="7" customFormat="1">
      <c r="A5" s="8"/>
      <c r="B5" s="8"/>
      <c r="C5" s="8"/>
      <c r="D5" s="8"/>
      <c r="E5" s="8"/>
      <c r="F5" s="8"/>
      <c r="G5" s="8"/>
      <c r="H5" s="8"/>
      <c r="I5" s="8"/>
      <c r="J5" s="8"/>
      <c r="K5" s="8"/>
    </row>
    <row r="6" spans="1:11" s="7" customFormat="1">
      <c r="A6" s="8"/>
      <c r="B6" s="8"/>
      <c r="C6" s="8"/>
      <c r="D6" s="8"/>
      <c r="E6" s="8"/>
      <c r="F6" s="8"/>
      <c r="G6" s="8"/>
      <c r="H6" s="8"/>
      <c r="I6" s="8"/>
      <c r="J6" s="8"/>
      <c r="K6" s="8"/>
    </row>
    <row r="7" spans="1:11">
      <c r="A7" s="9" t="s">
        <v>33</v>
      </c>
      <c r="B7" s="3" t="s">
        <v>35</v>
      </c>
      <c r="C7" s="4" t="s">
        <v>136</v>
      </c>
      <c r="D7" s="4"/>
      <c r="E7" s="4"/>
      <c r="F7" s="4"/>
      <c r="G7" s="4"/>
      <c r="H7" s="4"/>
      <c r="I7" s="4"/>
      <c r="J7" s="4"/>
      <c r="K7" s="4"/>
    </row>
    <row r="8" spans="1:11">
      <c r="A8" s="1" t="s">
        <v>137</v>
      </c>
      <c r="B8" s="3" t="s">
        <v>36</v>
      </c>
      <c r="C8" s="1" t="s">
        <v>135</v>
      </c>
      <c r="D8" s="1"/>
      <c r="E8" s="1"/>
      <c r="F8" s="1"/>
      <c r="G8" s="1"/>
      <c r="H8" s="1"/>
      <c r="I8" s="1"/>
      <c r="J8" s="1"/>
      <c r="K8" s="1"/>
    </row>
    <row r="9" spans="1:11">
      <c r="B9" s="3" t="s">
        <v>103</v>
      </c>
      <c r="C9" s="6"/>
      <c r="D9" s="6"/>
      <c r="E9" s="6"/>
      <c r="F9" s="6"/>
      <c r="G9" s="6"/>
      <c r="H9" s="6"/>
      <c r="I9" s="6"/>
      <c r="J9" s="6"/>
      <c r="K9" s="6"/>
    </row>
    <row r="11" spans="1:11">
      <c r="A11" s="9" t="s">
        <v>33</v>
      </c>
      <c r="B11" s="3" t="s">
        <v>35</v>
      </c>
      <c r="C11" s="4" t="s">
        <v>3</v>
      </c>
      <c r="D11" s="4" t="s">
        <v>4</v>
      </c>
      <c r="E11" s="4" t="s">
        <v>5</v>
      </c>
      <c r="F11" s="4" t="s">
        <v>6</v>
      </c>
      <c r="G11" s="4" t="s">
        <v>7</v>
      </c>
      <c r="H11" s="4" t="s">
        <v>8</v>
      </c>
      <c r="I11" s="4" t="s">
        <v>9</v>
      </c>
      <c r="J11" s="4" t="s">
        <v>10</v>
      </c>
      <c r="K11" s="4" t="s">
        <v>11</v>
      </c>
    </row>
    <row r="12" spans="1:11">
      <c r="A12" s="1" t="s">
        <v>34</v>
      </c>
      <c r="B12" s="3" t="s">
        <v>36</v>
      </c>
      <c r="C12" s="1" t="s">
        <v>12</v>
      </c>
      <c r="D12" s="1" t="s">
        <v>29</v>
      </c>
      <c r="E12" s="1" t="s">
        <v>30</v>
      </c>
      <c r="F12" s="1" t="s">
        <v>31</v>
      </c>
      <c r="G12" s="1" t="s">
        <v>32</v>
      </c>
      <c r="H12" s="1"/>
      <c r="I12" s="1"/>
      <c r="J12" s="1"/>
      <c r="K12" s="1"/>
    </row>
    <row r="13" spans="1:11">
      <c r="B13" s="3" t="s">
        <v>103</v>
      </c>
      <c r="C13" s="6" t="s">
        <v>104</v>
      </c>
      <c r="D13" s="6" t="s">
        <v>105</v>
      </c>
      <c r="E13" s="6" t="s">
        <v>106</v>
      </c>
      <c r="F13" s="6" t="s">
        <v>107</v>
      </c>
      <c r="G13" s="6" t="s">
        <v>108</v>
      </c>
      <c r="H13" s="6" t="s">
        <v>109</v>
      </c>
      <c r="I13" s="6" t="s">
        <v>110</v>
      </c>
      <c r="J13" s="6" t="s">
        <v>111</v>
      </c>
      <c r="K13" s="6" t="s">
        <v>112</v>
      </c>
    </row>
    <row r="15" spans="1:11">
      <c r="A15" s="9" t="s">
        <v>33</v>
      </c>
      <c r="B15" s="3" t="s">
        <v>35</v>
      </c>
      <c r="C15" s="4" t="s">
        <v>3</v>
      </c>
      <c r="D15" s="4" t="s">
        <v>4</v>
      </c>
      <c r="E15" s="4" t="s">
        <v>5</v>
      </c>
      <c r="F15" s="4" t="s">
        <v>6</v>
      </c>
    </row>
    <row r="16" spans="1:11">
      <c r="A16" s="1" t="s">
        <v>38</v>
      </c>
      <c r="B16" s="3" t="s">
        <v>36</v>
      </c>
      <c r="C16" s="1" t="s">
        <v>12</v>
      </c>
      <c r="D16" s="1" t="s">
        <v>29</v>
      </c>
      <c r="E16" s="1" t="s">
        <v>30</v>
      </c>
      <c r="F16" s="1" t="s">
        <v>31</v>
      </c>
    </row>
    <row r="17" spans="1:8">
      <c r="B17" s="3" t="s">
        <v>103</v>
      </c>
      <c r="C17" s="6" t="s">
        <v>104</v>
      </c>
      <c r="D17" s="6" t="s">
        <v>105</v>
      </c>
      <c r="E17" s="6" t="s">
        <v>106</v>
      </c>
      <c r="F17" s="6"/>
    </row>
    <row r="19" spans="1:8">
      <c r="A19" s="9" t="s">
        <v>33</v>
      </c>
      <c r="B19" s="3" t="s">
        <v>35</v>
      </c>
      <c r="C19" s="4" t="s">
        <v>3</v>
      </c>
      <c r="D19" s="4" t="s">
        <v>4</v>
      </c>
      <c r="E19" s="4" t="s">
        <v>5</v>
      </c>
      <c r="F19" s="4" t="s">
        <v>6</v>
      </c>
      <c r="G19" s="4" t="s">
        <v>7</v>
      </c>
      <c r="H19" s="4" t="s">
        <v>8</v>
      </c>
    </row>
    <row r="20" spans="1:8">
      <c r="A20" s="1" t="s">
        <v>43</v>
      </c>
      <c r="B20" s="3" t="s">
        <v>36</v>
      </c>
      <c r="C20" s="1" t="s">
        <v>12</v>
      </c>
      <c r="D20" s="1" t="s">
        <v>29</v>
      </c>
      <c r="E20" s="1" t="s">
        <v>30</v>
      </c>
      <c r="F20" s="1" t="s">
        <v>31</v>
      </c>
      <c r="G20" s="1" t="s">
        <v>32</v>
      </c>
      <c r="H20" s="1" t="s">
        <v>44</v>
      </c>
    </row>
    <row r="21" spans="1:8">
      <c r="B21" s="3" t="s">
        <v>103</v>
      </c>
      <c r="C21" s="6" t="s">
        <v>104</v>
      </c>
      <c r="D21" s="6" t="s">
        <v>105</v>
      </c>
      <c r="E21" s="6" t="s">
        <v>106</v>
      </c>
      <c r="F21" s="6"/>
      <c r="G21" s="6"/>
      <c r="H21" s="6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9"/>
  <sheetViews>
    <sheetView workbookViewId="0">
      <selection activeCell="D22" sqref="D22"/>
    </sheetView>
  </sheetViews>
  <sheetFormatPr defaultRowHeight="18.75"/>
  <cols>
    <col min="1" max="1" width="10.375" bestFit="1" customWidth="1"/>
    <col min="2" max="2" width="11.25" bestFit="1" customWidth="1"/>
    <col min="3" max="3" width="19.875" customWidth="1"/>
    <col min="4" max="4" width="11" bestFit="1" customWidth="1"/>
  </cols>
  <sheetData>
    <row r="1" spans="1:13" s="7" customFormat="1">
      <c r="A1" s="8" t="s">
        <v>37</v>
      </c>
      <c r="B1" s="5" t="s">
        <v>39</v>
      </c>
      <c r="C1" s="5"/>
      <c r="D1" s="5"/>
      <c r="E1" s="5"/>
      <c r="F1" s="5"/>
      <c r="G1" s="5"/>
      <c r="H1" s="5"/>
      <c r="I1" s="5"/>
      <c r="J1" s="5"/>
      <c r="K1" s="5"/>
    </row>
    <row r="2" spans="1:13" s="7" customFormat="1">
      <c r="A2" s="8"/>
      <c r="B2" s="5" t="s">
        <v>40</v>
      </c>
      <c r="C2" s="5"/>
      <c r="D2" s="5"/>
      <c r="E2" s="5"/>
      <c r="F2" s="5"/>
      <c r="G2" s="5"/>
      <c r="H2" s="5"/>
      <c r="I2" s="5"/>
      <c r="J2" s="5"/>
      <c r="K2" s="5"/>
    </row>
    <row r="3" spans="1:13" s="7" customFormat="1">
      <c r="A3" s="8"/>
      <c r="B3" s="5" t="s">
        <v>41</v>
      </c>
      <c r="C3" s="5"/>
      <c r="D3" s="5"/>
      <c r="E3" s="5"/>
      <c r="F3" s="5"/>
      <c r="G3" s="5"/>
      <c r="H3" s="5"/>
      <c r="I3" s="5"/>
      <c r="J3" s="5"/>
      <c r="K3" s="5"/>
    </row>
    <row r="4" spans="1:13" s="7" customFormat="1">
      <c r="A4" s="8"/>
      <c r="B4" s="10" t="s">
        <v>42</v>
      </c>
      <c r="C4" s="5"/>
      <c r="D4" s="5"/>
      <c r="E4" s="5"/>
      <c r="F4" s="5"/>
      <c r="G4" s="5"/>
      <c r="H4" s="5"/>
      <c r="I4" s="5"/>
      <c r="J4" s="5"/>
      <c r="K4" s="5"/>
    </row>
    <row r="5" spans="1:13" s="7" customFormat="1">
      <c r="A5" s="8"/>
      <c r="B5" s="8"/>
      <c r="C5" s="8"/>
      <c r="D5" s="8"/>
      <c r="E5" s="8"/>
      <c r="F5" s="8"/>
      <c r="G5" s="8"/>
      <c r="H5" s="8"/>
      <c r="I5" s="8"/>
      <c r="J5" s="8"/>
      <c r="K5" s="8"/>
    </row>
    <row r="6" spans="1:13">
      <c r="A6" s="9" t="s">
        <v>33</v>
      </c>
      <c r="B6" s="3" t="s">
        <v>35</v>
      </c>
      <c r="C6" t="s">
        <v>113</v>
      </c>
      <c r="D6" t="s">
        <v>116</v>
      </c>
      <c r="E6" t="s">
        <v>118</v>
      </c>
      <c r="F6" t="s">
        <v>120</v>
      </c>
      <c r="G6" t="s">
        <v>116</v>
      </c>
      <c r="H6" t="s">
        <v>122</v>
      </c>
      <c r="I6" t="s">
        <v>116</v>
      </c>
      <c r="J6" t="s">
        <v>122</v>
      </c>
      <c r="K6" t="s">
        <v>116</v>
      </c>
      <c r="L6" t="s">
        <v>120</v>
      </c>
      <c r="M6" t="s">
        <v>116</v>
      </c>
    </row>
    <row r="7" spans="1:13">
      <c r="A7" s="1" t="s">
        <v>34</v>
      </c>
      <c r="B7" s="3" t="s">
        <v>133</v>
      </c>
      <c r="C7" t="s">
        <v>114</v>
      </c>
      <c r="D7" t="s">
        <v>117</v>
      </c>
      <c r="E7" t="s">
        <v>119</v>
      </c>
      <c r="F7" t="s">
        <v>117</v>
      </c>
      <c r="G7" t="s">
        <v>121</v>
      </c>
      <c r="H7" t="s">
        <v>123</v>
      </c>
      <c r="I7" t="s">
        <v>124</v>
      </c>
      <c r="J7" t="s">
        <v>125</v>
      </c>
      <c r="K7" t="s">
        <v>126</v>
      </c>
      <c r="L7" t="s">
        <v>127</v>
      </c>
      <c r="M7" t="s">
        <v>129</v>
      </c>
    </row>
    <row r="8" spans="1:13">
      <c r="B8" s="3" t="s">
        <v>132</v>
      </c>
      <c r="C8" t="s">
        <v>115</v>
      </c>
      <c r="D8" t="s">
        <v>115</v>
      </c>
      <c r="E8" t="s">
        <v>115</v>
      </c>
      <c r="F8" t="s">
        <v>130</v>
      </c>
      <c r="G8" t="s">
        <v>131</v>
      </c>
      <c r="H8" t="s">
        <v>115</v>
      </c>
      <c r="I8" t="s">
        <v>115</v>
      </c>
      <c r="J8" t="s">
        <v>115</v>
      </c>
      <c r="K8" t="s">
        <v>115</v>
      </c>
      <c r="L8" t="s">
        <v>128</v>
      </c>
      <c r="M8" t="s">
        <v>115</v>
      </c>
    </row>
    <row r="9" spans="1:13">
      <c r="B9" s="3" t="s">
        <v>103</v>
      </c>
    </row>
    <row r="11" spans="1:13">
      <c r="A11" s="9" t="s">
        <v>33</v>
      </c>
      <c r="B11" s="3" t="s">
        <v>35</v>
      </c>
      <c r="C11" t="s">
        <v>113</v>
      </c>
      <c r="D11" t="s">
        <v>116</v>
      </c>
      <c r="E11" t="s">
        <v>118</v>
      </c>
      <c r="F11" t="s">
        <v>120</v>
      </c>
      <c r="G11" t="s">
        <v>116</v>
      </c>
      <c r="H11" t="s">
        <v>122</v>
      </c>
      <c r="I11" t="s">
        <v>116</v>
      </c>
      <c r="J11" t="s">
        <v>122</v>
      </c>
      <c r="K11" t="s">
        <v>116</v>
      </c>
      <c r="L11" t="s">
        <v>120</v>
      </c>
      <c r="M11" t="s">
        <v>116</v>
      </c>
    </row>
    <row r="12" spans="1:13">
      <c r="A12" s="1" t="s">
        <v>34</v>
      </c>
      <c r="B12" s="3" t="s">
        <v>133</v>
      </c>
      <c r="C12" t="s">
        <v>114</v>
      </c>
      <c r="D12" t="s">
        <v>117</v>
      </c>
      <c r="E12" t="s">
        <v>119</v>
      </c>
      <c r="F12" t="s">
        <v>117</v>
      </c>
      <c r="G12" t="s">
        <v>121</v>
      </c>
      <c r="H12" t="s">
        <v>123</v>
      </c>
      <c r="I12" t="s">
        <v>124</v>
      </c>
      <c r="J12" t="s">
        <v>125</v>
      </c>
      <c r="K12" t="s">
        <v>126</v>
      </c>
      <c r="L12" t="s">
        <v>127</v>
      </c>
      <c r="M12" t="s">
        <v>129</v>
      </c>
    </row>
    <row r="13" spans="1:13">
      <c r="B13" s="3" t="s">
        <v>132</v>
      </c>
      <c r="C13" t="s">
        <v>115</v>
      </c>
      <c r="D13" t="s">
        <v>115</v>
      </c>
      <c r="E13" t="s">
        <v>115</v>
      </c>
      <c r="F13" t="s">
        <v>130</v>
      </c>
      <c r="G13" t="s">
        <v>131</v>
      </c>
      <c r="H13" t="s">
        <v>115</v>
      </c>
      <c r="I13" t="s">
        <v>115</v>
      </c>
      <c r="J13" t="s">
        <v>115</v>
      </c>
      <c r="K13" t="s">
        <v>115</v>
      </c>
      <c r="L13" t="s">
        <v>128</v>
      </c>
      <c r="M13" t="s">
        <v>115</v>
      </c>
    </row>
    <row r="14" spans="1:13">
      <c r="B14" s="3" t="s">
        <v>103</v>
      </c>
    </row>
    <row r="16" spans="1:13">
      <c r="A16" s="9" t="s">
        <v>33</v>
      </c>
      <c r="B16" s="3" t="s">
        <v>35</v>
      </c>
      <c r="C16" t="s">
        <v>113</v>
      </c>
      <c r="D16" t="s">
        <v>116</v>
      </c>
      <c r="E16" t="s">
        <v>118</v>
      </c>
      <c r="F16" t="s">
        <v>120</v>
      </c>
      <c r="G16" t="s">
        <v>116</v>
      </c>
      <c r="H16" t="s">
        <v>122</v>
      </c>
      <c r="I16" t="s">
        <v>116</v>
      </c>
      <c r="J16" t="s">
        <v>122</v>
      </c>
      <c r="K16" t="s">
        <v>116</v>
      </c>
      <c r="L16" t="s">
        <v>120</v>
      </c>
      <c r="M16" t="s">
        <v>116</v>
      </c>
    </row>
    <row r="17" spans="1:13">
      <c r="A17" s="1" t="s">
        <v>34</v>
      </c>
      <c r="B17" s="3" t="s">
        <v>133</v>
      </c>
      <c r="C17" t="s">
        <v>114</v>
      </c>
      <c r="D17" t="s">
        <v>117</v>
      </c>
      <c r="E17" t="s">
        <v>119</v>
      </c>
      <c r="F17" t="s">
        <v>117</v>
      </c>
      <c r="G17" t="s">
        <v>121</v>
      </c>
      <c r="H17" t="s">
        <v>123</v>
      </c>
      <c r="I17" t="s">
        <v>124</v>
      </c>
      <c r="J17" t="s">
        <v>125</v>
      </c>
      <c r="K17" t="s">
        <v>126</v>
      </c>
      <c r="L17" t="s">
        <v>127</v>
      </c>
      <c r="M17" t="s">
        <v>129</v>
      </c>
    </row>
    <row r="18" spans="1:13">
      <c r="B18" s="3" t="s">
        <v>132</v>
      </c>
      <c r="C18" t="s">
        <v>115</v>
      </c>
      <c r="D18" t="s">
        <v>115</v>
      </c>
      <c r="E18" t="s">
        <v>115</v>
      </c>
      <c r="F18" t="s">
        <v>130</v>
      </c>
      <c r="G18" t="s">
        <v>131</v>
      </c>
      <c r="H18" t="s">
        <v>115</v>
      </c>
      <c r="I18" t="s">
        <v>115</v>
      </c>
      <c r="J18" t="s">
        <v>115</v>
      </c>
      <c r="K18" t="s">
        <v>115</v>
      </c>
      <c r="L18" t="s">
        <v>128</v>
      </c>
      <c r="M18" t="s">
        <v>115</v>
      </c>
    </row>
    <row r="19" spans="1:13">
      <c r="B19" s="3" t="s">
        <v>103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6"/>
  <sheetViews>
    <sheetView workbookViewId="0">
      <selection activeCell="K4" sqref="K4"/>
    </sheetView>
  </sheetViews>
  <sheetFormatPr defaultRowHeight="18.75"/>
  <cols>
    <col min="1" max="1" width="14.375" bestFit="1" customWidth="1"/>
    <col min="2" max="2" width="9.25" customWidth="1"/>
  </cols>
  <sheetData>
    <row r="1" spans="1:11">
      <c r="A1" s="9" t="str">
        <f ca="1">MID(CELL("filename"), FIND("]",CELL("filename"))+1,100)</f>
        <v>KVM</v>
      </c>
      <c r="B1" s="9" t="s">
        <v>58</v>
      </c>
      <c r="C1" s="6" t="s">
        <v>49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55</v>
      </c>
      <c r="J1" s="6" t="s">
        <v>56</v>
      </c>
      <c r="K1" s="6" t="s">
        <v>57</v>
      </c>
    </row>
    <row r="2" spans="1:11">
      <c r="A2" s="4" t="s">
        <v>63</v>
      </c>
      <c r="B2" s="9" t="s">
        <v>59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</row>
    <row r="3" spans="1:11">
      <c r="A3" s="4" t="s">
        <v>64</v>
      </c>
      <c r="B3" s="9" t="s">
        <v>60</v>
      </c>
      <c r="C3" s="6" t="s">
        <v>61</v>
      </c>
      <c r="D3" s="6" t="s">
        <v>61</v>
      </c>
      <c r="E3" s="6" t="s">
        <v>61</v>
      </c>
      <c r="F3" s="6" t="s">
        <v>61</v>
      </c>
      <c r="G3" s="6" t="s">
        <v>61</v>
      </c>
      <c r="H3" s="6" t="s">
        <v>61</v>
      </c>
      <c r="I3" s="6" t="s">
        <v>61</v>
      </c>
      <c r="J3" s="6" t="s">
        <v>61</v>
      </c>
      <c r="K3" s="6" t="s">
        <v>61</v>
      </c>
    </row>
    <row r="4" spans="1:11">
      <c r="A4" s="12" t="s">
        <v>77</v>
      </c>
      <c r="B4" s="9" t="s">
        <v>62</v>
      </c>
      <c r="C4" s="6">
        <v>10</v>
      </c>
      <c r="D4" s="6">
        <v>10</v>
      </c>
      <c r="E4" s="6">
        <v>10</v>
      </c>
      <c r="F4" s="6">
        <v>10</v>
      </c>
      <c r="G4" s="6">
        <v>10</v>
      </c>
      <c r="H4" s="6">
        <v>10</v>
      </c>
      <c r="I4" s="6">
        <v>10</v>
      </c>
      <c r="J4" s="6">
        <v>10</v>
      </c>
      <c r="K4" s="6">
        <v>10</v>
      </c>
    </row>
    <row r="5" spans="1:11">
      <c r="A5" s="1">
        <v>1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</row>
    <row r="6" spans="1:11">
      <c r="A6" s="1"/>
      <c r="B6" s="1">
        <v>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3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>
        <v>4</v>
      </c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5</v>
      </c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>
        <v>6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6"/>
  <sheetViews>
    <sheetView workbookViewId="0">
      <selection activeCell="C22" sqref="C22"/>
    </sheetView>
  </sheetViews>
  <sheetFormatPr defaultRowHeight="18.75"/>
  <cols>
    <col min="1" max="1" width="14.375" bestFit="1" customWidth="1"/>
    <col min="2" max="2" width="9.25" customWidth="1"/>
  </cols>
  <sheetData>
    <row r="1" spans="1:11">
      <c r="A1" s="9" t="str">
        <f ca="1">MID(CELL("filename"), FIND("]",CELL("filename"))+1,100)</f>
        <v>KVM</v>
      </c>
      <c r="B1" s="9" t="s">
        <v>58</v>
      </c>
      <c r="C1" s="6" t="s">
        <v>49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55</v>
      </c>
      <c r="J1" s="6" t="s">
        <v>56</v>
      </c>
      <c r="K1" s="6" t="s">
        <v>57</v>
      </c>
    </row>
    <row r="2" spans="1:11">
      <c r="A2" s="4" t="s">
        <v>80</v>
      </c>
      <c r="B2" s="9" t="s">
        <v>59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</row>
    <row r="3" spans="1:11">
      <c r="A3" s="4" t="s">
        <v>28</v>
      </c>
      <c r="B3" s="9" t="s">
        <v>60</v>
      </c>
      <c r="C3" s="6" t="s">
        <v>61</v>
      </c>
      <c r="D3" s="6" t="s">
        <v>61</v>
      </c>
      <c r="E3" s="6" t="s">
        <v>61</v>
      </c>
      <c r="F3" s="6" t="s">
        <v>61</v>
      </c>
      <c r="G3" s="6" t="s">
        <v>61</v>
      </c>
      <c r="H3" s="6" t="s">
        <v>61</v>
      </c>
      <c r="I3" s="6" t="s">
        <v>61</v>
      </c>
      <c r="J3" s="6" t="s">
        <v>61</v>
      </c>
      <c r="K3" s="6" t="s">
        <v>61</v>
      </c>
    </row>
    <row r="4" spans="1:11">
      <c r="A4" s="12" t="s">
        <v>77</v>
      </c>
      <c r="B4" s="9" t="s">
        <v>62</v>
      </c>
      <c r="C4" s="6">
        <v>10</v>
      </c>
      <c r="D4" s="6">
        <v>10</v>
      </c>
      <c r="E4" s="6">
        <v>10</v>
      </c>
      <c r="F4" s="6">
        <v>10</v>
      </c>
      <c r="G4" s="6">
        <v>10</v>
      </c>
      <c r="H4" s="6">
        <v>10</v>
      </c>
      <c r="I4" s="6">
        <v>10</v>
      </c>
      <c r="J4" s="6">
        <v>10</v>
      </c>
      <c r="K4" s="6">
        <v>10</v>
      </c>
    </row>
    <row r="5" spans="1:11">
      <c r="A5" s="1">
        <v>1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</row>
    <row r="6" spans="1:11">
      <c r="A6" s="1"/>
      <c r="B6" s="1">
        <v>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3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>
        <v>4</v>
      </c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5</v>
      </c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>
        <v>6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6"/>
  <sheetViews>
    <sheetView workbookViewId="0">
      <selection activeCell="C21" sqref="C21"/>
    </sheetView>
  </sheetViews>
  <sheetFormatPr defaultRowHeight="18.75"/>
  <cols>
    <col min="1" max="1" width="14.375" bestFit="1" customWidth="1"/>
    <col min="2" max="2" width="9.25" customWidth="1"/>
  </cols>
  <sheetData>
    <row r="1" spans="1:11">
      <c r="A1" s="9" t="str">
        <f ca="1">MID(CELL("filename"), FIND("]",CELL("filename"))+1,100)</f>
        <v>KVM</v>
      </c>
      <c r="B1" s="9" t="s">
        <v>58</v>
      </c>
      <c r="C1" s="6" t="s">
        <v>49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55</v>
      </c>
      <c r="J1" s="6" t="s">
        <v>56</v>
      </c>
      <c r="K1" s="6" t="s">
        <v>57</v>
      </c>
    </row>
    <row r="2" spans="1:11">
      <c r="A2" s="4" t="s">
        <v>81</v>
      </c>
      <c r="B2" s="9" t="s">
        <v>59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</row>
    <row r="3" spans="1:11">
      <c r="A3" s="4" t="s">
        <v>82</v>
      </c>
      <c r="B3" s="9" t="s">
        <v>60</v>
      </c>
      <c r="C3" s="6" t="s">
        <v>61</v>
      </c>
      <c r="D3" s="6" t="s">
        <v>61</v>
      </c>
      <c r="E3" s="6" t="s">
        <v>61</v>
      </c>
      <c r="F3" s="6" t="s">
        <v>61</v>
      </c>
      <c r="G3" s="6" t="s">
        <v>61</v>
      </c>
      <c r="H3" s="6" t="s">
        <v>61</v>
      </c>
      <c r="I3" s="6" t="s">
        <v>61</v>
      </c>
      <c r="J3" s="6" t="s">
        <v>61</v>
      </c>
      <c r="K3" s="6" t="s">
        <v>61</v>
      </c>
    </row>
    <row r="4" spans="1:11">
      <c r="A4" s="12" t="s">
        <v>77</v>
      </c>
      <c r="B4" s="9" t="s">
        <v>62</v>
      </c>
      <c r="C4" s="6">
        <v>10</v>
      </c>
      <c r="D4" s="6">
        <v>10</v>
      </c>
      <c r="E4" s="6">
        <v>10</v>
      </c>
      <c r="F4" s="6">
        <v>10</v>
      </c>
      <c r="G4" s="6">
        <v>10</v>
      </c>
      <c r="H4" s="6">
        <v>10</v>
      </c>
      <c r="I4" s="6">
        <v>10</v>
      </c>
      <c r="J4" s="6">
        <v>10</v>
      </c>
      <c r="K4" s="6">
        <v>10</v>
      </c>
    </row>
    <row r="5" spans="1:11">
      <c r="A5" s="1">
        <v>1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</row>
    <row r="6" spans="1:11">
      <c r="A6" s="1"/>
      <c r="B6" s="1">
        <v>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3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>
        <v>4</v>
      </c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5</v>
      </c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>
        <v>6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6"/>
  <sheetViews>
    <sheetView workbookViewId="0">
      <selection activeCell="F19" sqref="F19"/>
    </sheetView>
  </sheetViews>
  <sheetFormatPr defaultRowHeight="18.75"/>
  <cols>
    <col min="1" max="1" width="14.375" bestFit="1" customWidth="1"/>
    <col min="2" max="2" width="9.25" customWidth="1"/>
  </cols>
  <sheetData>
    <row r="1" spans="1:11">
      <c r="A1" s="9" t="str">
        <f ca="1">MID(CELL("filename"), FIND("]",CELL("filename"))+1,100)</f>
        <v>KVM</v>
      </c>
      <c r="B1" s="9" t="s">
        <v>58</v>
      </c>
      <c r="C1" s="6" t="s">
        <v>49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55</v>
      </c>
      <c r="J1" s="6" t="s">
        <v>56</v>
      </c>
      <c r="K1" s="6" t="s">
        <v>57</v>
      </c>
    </row>
    <row r="2" spans="1:11">
      <c r="A2" s="4" t="s">
        <v>63</v>
      </c>
      <c r="B2" s="9" t="s">
        <v>59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</row>
    <row r="3" spans="1:11">
      <c r="A3" s="4" t="s">
        <v>64</v>
      </c>
      <c r="B3" s="9" t="s">
        <v>60</v>
      </c>
      <c r="C3" s="6" t="s">
        <v>61</v>
      </c>
      <c r="D3" s="6" t="s">
        <v>61</v>
      </c>
      <c r="E3" s="6" t="s">
        <v>61</v>
      </c>
      <c r="F3" s="6" t="s">
        <v>61</v>
      </c>
      <c r="G3" s="6" t="s">
        <v>61</v>
      </c>
      <c r="H3" s="6" t="s">
        <v>61</v>
      </c>
      <c r="I3" s="6" t="s">
        <v>61</v>
      </c>
      <c r="J3" s="6" t="s">
        <v>61</v>
      </c>
      <c r="K3" s="6" t="s">
        <v>61</v>
      </c>
    </row>
    <row r="4" spans="1:11">
      <c r="A4" s="12" t="s">
        <v>77</v>
      </c>
      <c r="B4" s="9" t="s">
        <v>62</v>
      </c>
      <c r="C4" s="6">
        <v>10</v>
      </c>
      <c r="D4" s="6">
        <v>10</v>
      </c>
      <c r="E4" s="6">
        <v>10</v>
      </c>
      <c r="F4" s="6">
        <v>10</v>
      </c>
      <c r="G4" s="6">
        <v>10</v>
      </c>
      <c r="H4" s="6">
        <v>10</v>
      </c>
      <c r="I4" s="6">
        <v>10</v>
      </c>
      <c r="J4" s="6">
        <v>10</v>
      </c>
      <c r="K4" s="6">
        <v>10</v>
      </c>
    </row>
    <row r="5" spans="1:11">
      <c r="A5" s="1" t="s">
        <v>72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</row>
    <row r="6" spans="1:11">
      <c r="A6" s="1"/>
      <c r="B6" s="1">
        <v>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3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>
        <v>4</v>
      </c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5</v>
      </c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>
        <v>6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6"/>
  <sheetViews>
    <sheetView workbookViewId="0">
      <selection activeCell="D20" sqref="D20"/>
    </sheetView>
  </sheetViews>
  <sheetFormatPr defaultRowHeight="18.75"/>
  <cols>
    <col min="1" max="1" width="14.375" bestFit="1" customWidth="1"/>
    <col min="2" max="2" width="9.25" customWidth="1"/>
  </cols>
  <sheetData>
    <row r="1" spans="1:11">
      <c r="A1" s="9" t="str">
        <f ca="1">MID(CELL("filename"), FIND("]",CELL("filename"))+1,100)</f>
        <v>KVM</v>
      </c>
      <c r="B1" s="9" t="s">
        <v>58</v>
      </c>
      <c r="C1" s="6" t="s">
        <v>49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55</v>
      </c>
      <c r="J1" s="6" t="s">
        <v>56</v>
      </c>
      <c r="K1" s="6" t="s">
        <v>57</v>
      </c>
    </row>
    <row r="2" spans="1:11">
      <c r="A2" s="4" t="s">
        <v>86</v>
      </c>
      <c r="B2" s="9" t="s">
        <v>59</v>
      </c>
      <c r="C2" s="6" t="s">
        <v>13</v>
      </c>
      <c r="D2" s="6" t="s">
        <v>14</v>
      </c>
      <c r="E2" s="6" t="s">
        <v>15</v>
      </c>
      <c r="F2" s="6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6" t="s">
        <v>21</v>
      </c>
    </row>
    <row r="3" spans="1:11">
      <c r="A3" s="4" t="s">
        <v>28</v>
      </c>
      <c r="B3" s="9" t="s">
        <v>60</v>
      </c>
      <c r="C3" s="6" t="s">
        <v>61</v>
      </c>
      <c r="D3" s="6" t="s">
        <v>61</v>
      </c>
      <c r="E3" s="6" t="s">
        <v>61</v>
      </c>
      <c r="F3" s="6" t="s">
        <v>61</v>
      </c>
      <c r="G3" s="6" t="s">
        <v>61</v>
      </c>
      <c r="H3" s="6" t="s">
        <v>61</v>
      </c>
      <c r="I3" s="6" t="s">
        <v>61</v>
      </c>
      <c r="J3" s="6" t="s">
        <v>61</v>
      </c>
      <c r="K3" s="6" t="s">
        <v>61</v>
      </c>
    </row>
    <row r="4" spans="1:11">
      <c r="A4" s="12" t="s">
        <v>77</v>
      </c>
      <c r="B4" s="9" t="s">
        <v>62</v>
      </c>
      <c r="C4" s="6">
        <v>10</v>
      </c>
      <c r="D4" s="6">
        <v>10</v>
      </c>
      <c r="E4" s="6">
        <v>10</v>
      </c>
      <c r="F4" s="6">
        <v>10</v>
      </c>
      <c r="G4" s="6">
        <v>10</v>
      </c>
      <c r="H4" s="6">
        <v>10</v>
      </c>
      <c r="I4" s="6">
        <v>10</v>
      </c>
      <c r="J4" s="6">
        <v>10</v>
      </c>
      <c r="K4" s="6">
        <v>10</v>
      </c>
    </row>
    <row r="5" spans="1:11">
      <c r="A5" s="1" t="s">
        <v>72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</row>
    <row r="6" spans="1:11">
      <c r="A6" s="1"/>
      <c r="B6" s="1">
        <v>2</v>
      </c>
      <c r="C6" s="1"/>
      <c r="D6" s="1"/>
      <c r="E6" s="1"/>
      <c r="F6" s="1"/>
      <c r="G6" s="1"/>
      <c r="H6" s="1"/>
      <c r="I6" s="1"/>
      <c r="J6" s="1"/>
      <c r="K6" s="1"/>
    </row>
    <row r="7" spans="1:11">
      <c r="A7" s="1"/>
      <c r="B7" s="1">
        <v>3</v>
      </c>
      <c r="C7" s="1"/>
      <c r="D7" s="1"/>
      <c r="E7" s="1"/>
      <c r="F7" s="1"/>
      <c r="G7" s="1"/>
      <c r="H7" s="1"/>
      <c r="I7" s="1"/>
      <c r="J7" s="1"/>
      <c r="K7" s="1"/>
    </row>
    <row r="8" spans="1:11">
      <c r="A8" s="1"/>
      <c r="B8" s="1">
        <v>4</v>
      </c>
      <c r="C8" s="1"/>
      <c r="D8" s="1"/>
      <c r="E8" s="1"/>
      <c r="F8" s="1"/>
      <c r="G8" s="1"/>
      <c r="H8" s="1"/>
      <c r="I8" s="1"/>
      <c r="J8" s="1"/>
      <c r="K8" s="1"/>
    </row>
    <row r="9" spans="1:11">
      <c r="A9" s="1"/>
      <c r="B9" s="1">
        <v>5</v>
      </c>
      <c r="C9" s="1"/>
      <c r="D9" s="1"/>
      <c r="E9" s="1"/>
      <c r="F9" s="1"/>
      <c r="G9" s="1"/>
      <c r="H9" s="1"/>
      <c r="I9" s="1"/>
      <c r="J9" s="1"/>
      <c r="K9" s="1"/>
    </row>
    <row r="10" spans="1:11">
      <c r="A10" s="1"/>
      <c r="B10" s="1">
        <v>6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>
      <c r="A11" s="1"/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>
      <c r="A12" s="1"/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</row>
    <row r="13" spans="1:11">
      <c r="A13" s="1"/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</row>
    <row r="14" spans="1:11">
      <c r="A14" s="1"/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>
      <c r="A15" s="1"/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</row>
    <row r="16" spans="1:11">
      <c r="A16" s="1"/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4"/>
  <sheetViews>
    <sheetView workbookViewId="0">
      <selection activeCell="F4" sqref="F4"/>
    </sheetView>
  </sheetViews>
  <sheetFormatPr defaultRowHeight="18.75"/>
  <cols>
    <col min="1" max="1" width="14.375" bestFit="1" customWidth="1"/>
    <col min="2" max="2" width="9" bestFit="1" customWidth="1"/>
    <col min="3" max="5" width="14.375" customWidth="1"/>
    <col min="6" max="6" width="11.375" customWidth="1"/>
    <col min="7" max="7" width="66.375" bestFit="1" customWidth="1"/>
  </cols>
  <sheetData>
    <row r="1" spans="1:7">
      <c r="A1" s="9" t="str">
        <f ca="1">MID(CELL("filename"), FIND("]",CELL("filename"))+1,100)</f>
        <v>KVM</v>
      </c>
      <c r="B1" s="5"/>
      <c r="C1" s="5"/>
      <c r="D1" s="5"/>
      <c r="E1" s="5"/>
      <c r="F1" s="5"/>
      <c r="G1" s="11"/>
    </row>
    <row r="2" spans="1:7">
      <c r="A2" s="12" t="s">
        <v>77</v>
      </c>
      <c r="B2" s="3" t="s">
        <v>79</v>
      </c>
      <c r="C2" s="3" t="s">
        <v>68</v>
      </c>
      <c r="D2" s="3" t="s">
        <v>65</v>
      </c>
      <c r="E2" s="3" t="s">
        <v>66</v>
      </c>
      <c r="F2" s="3" t="s">
        <v>67</v>
      </c>
      <c r="G2" s="13" t="s">
        <v>76</v>
      </c>
    </row>
    <row r="3" spans="1:7">
      <c r="A3" s="1" t="s">
        <v>72</v>
      </c>
      <c r="B3" s="1"/>
      <c r="C3" s="1" t="s">
        <v>78</v>
      </c>
      <c r="D3" s="1" t="s">
        <v>69</v>
      </c>
      <c r="E3" s="1" t="s">
        <v>70</v>
      </c>
      <c r="F3" s="1" t="s">
        <v>71</v>
      </c>
      <c r="G3" s="2" t="str">
        <f>$C$2&amp; " " &amp;C3&amp;" " &amp;$D$2 &amp;" "&amp;D3&amp;" " &amp;IF(ISBLANK(E3),"",$E$2&amp;" " &amp;E3)&amp;" " &amp;IF(ISBLANK(F3),"",$F$2&amp;" " &amp;F3)</f>
        <v>SELECT * FROM tb0001 WHERE rownum&lt;=100 ORDERBY 1,2,3,4</v>
      </c>
    </row>
    <row r="4" spans="1:7">
      <c r="A4" s="1" t="s">
        <v>73</v>
      </c>
      <c r="B4" s="1"/>
      <c r="C4" s="1" t="s">
        <v>87</v>
      </c>
      <c r="D4" s="1" t="s">
        <v>74</v>
      </c>
      <c r="E4" s="1" t="s">
        <v>70</v>
      </c>
      <c r="F4" s="1" t="s">
        <v>75</v>
      </c>
      <c r="G4" s="2" t="str">
        <f>$C$2&amp; " " &amp;C4&amp;" " &amp;$D$2 &amp;" "&amp;D4&amp;" " &amp;IF(ISBLANK(E4),"",$E$2&amp;" " &amp;E4)&amp;" " &amp;IF(ISBLANK(F4),"",$F$2&amp;" " &amp;F4)</f>
        <v>SELECT * FROM tb0002 WHERE rownum&lt;=100 ORDERBY 1,2,3 desc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KVM</vt:lpstr>
      <vt:lpstr>KVM設定説明</vt:lpstr>
      <vt:lpstr>main</vt:lpstr>
      <vt:lpstr>properties</vt:lpstr>
      <vt:lpstr>page1</vt:lpstr>
      <vt:lpstr>in-data1</vt:lpstr>
      <vt:lpstr>in-data2</vt:lpstr>
      <vt:lpstr>in-data3</vt:lpstr>
      <vt:lpstr>out-data1</vt:lpstr>
      <vt:lpstr>out-data2</vt:lpstr>
      <vt:lpstr>res-data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2020-11-13T01:53:34Z</dcterms:created>
  <dcterms:modified xsi:type="dcterms:W3CDTF">2020-11-17T08:49:29Z</dcterms:modified>
</cp:coreProperties>
</file>